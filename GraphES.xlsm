
<file path=[Content_Types].xml><?xml version="1.0" encoding="utf-8"?>
<Types xmlns="http://schemas.openxmlformats.org/package/2006/content-types">
  <Default Extension="bin" ContentType="application/vnd.ms-office.vbaProject"/>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8.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9.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10.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11.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BuÇalışmaKitabı" defaultThemeVersion="202300"/>
  <mc:AlternateContent xmlns:mc="http://schemas.openxmlformats.org/markup-compatibility/2006">
    <mc:Choice Requires="x15">
      <x15ac:absPath xmlns:x15ac="http://schemas.microsoft.com/office/spreadsheetml/2010/11/ac" url="C:\Users\KYG\Desktop\"/>
    </mc:Choice>
  </mc:AlternateContent>
  <xr:revisionPtr revIDLastSave="0" documentId="13_ncr:1_{EA0AE97D-FE1E-4387-AAE0-9D8D8A180E0F}" xr6:coauthVersionLast="47" xr6:coauthVersionMax="47" xr10:uidLastSave="{00000000-0000-0000-0000-000000000000}"/>
  <bookViews>
    <workbookView xWindow="-98" yWindow="-98" windowWidth="21795" windowHeight="13096" tabRatio="753" xr2:uid="{0CB999FD-C39E-475E-B8B8-2A5FB57784B4}"/>
  </bookViews>
  <sheets>
    <sheet name="Info" sheetId="1" r:id="rId1"/>
    <sheet name="NetNum" sheetId="2" r:id="rId2"/>
    <sheet name="Pro" sheetId="3" r:id="rId3"/>
    <sheet name="Dist" sheetId="4" r:id="rId4"/>
    <sheet name="Mods" sheetId="5" r:id="rId5"/>
    <sheet name="Factors" sheetId="6" r:id="rId6"/>
    <sheet name="UpMatrices" sheetId="7" r:id="rId7"/>
    <sheet name="UpLinks" sheetId="8" r:id="rId8"/>
    <sheet name="SPth" sheetId="9" r:id="rId9"/>
    <sheet name="AsgAON" sheetId="10" r:id="rId10"/>
    <sheet name="AsgInc" sheetId="11" r:id="rId11"/>
    <sheet name="NetGraph" sheetId="12" r:id="rId1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12" l="1"/>
  <c r="F3" i="12" s="1"/>
  <c r="H3" i="12"/>
  <c r="I3" i="12"/>
  <c r="J3" i="12"/>
  <c r="K3" i="12"/>
  <c r="L3" i="12"/>
  <c r="N3" i="12" s="1"/>
  <c r="F4" i="12"/>
  <c r="G4" i="12"/>
  <c r="H4" i="12"/>
  <c r="I4" i="12"/>
  <c r="J4" i="12"/>
  <c r="K4" i="12"/>
  <c r="L4" i="12"/>
  <c r="N4" i="12" s="1"/>
  <c r="G5" i="12"/>
  <c r="F5" i="12" s="1"/>
  <c r="H5" i="12"/>
  <c r="I5" i="12"/>
  <c r="J5" i="12"/>
  <c r="K5" i="12"/>
  <c r="L5" i="12"/>
  <c r="N5" i="12" s="1"/>
  <c r="G6" i="12"/>
  <c r="F6" i="12" s="1"/>
  <c r="H6" i="12"/>
  <c r="I6" i="12"/>
  <c r="J6" i="12"/>
  <c r="K6" i="12"/>
  <c r="L6" i="12"/>
  <c r="N6" i="12" s="1"/>
  <c r="F7" i="12"/>
  <c r="G7" i="12"/>
  <c r="H7" i="12"/>
  <c r="I7" i="12"/>
  <c r="J7" i="12"/>
  <c r="K7" i="12"/>
  <c r="L7" i="12"/>
  <c r="N7" i="12" s="1"/>
  <c r="G8" i="12"/>
  <c r="F8" i="12" s="1"/>
  <c r="H8" i="12"/>
  <c r="I8" i="12"/>
  <c r="J8" i="12"/>
  <c r="K8" i="12"/>
  <c r="L8" i="12"/>
  <c r="N8" i="12" s="1"/>
  <c r="G9" i="12"/>
  <c r="F9" i="12" s="1"/>
  <c r="H9" i="12"/>
  <c r="I9" i="12"/>
  <c r="J9" i="12"/>
  <c r="K9" i="12"/>
  <c r="L9" i="12"/>
  <c r="N9" i="12" s="1"/>
  <c r="F10" i="12"/>
  <c r="G10" i="12"/>
  <c r="H10" i="12"/>
  <c r="I10" i="12"/>
  <c r="J10" i="12"/>
  <c r="K10" i="12"/>
  <c r="L10" i="12"/>
  <c r="N10" i="12" s="1"/>
  <c r="G11" i="12"/>
  <c r="F11" i="12" s="1"/>
  <c r="H11" i="12"/>
  <c r="I11" i="12"/>
  <c r="J11" i="12"/>
  <c r="K11" i="12"/>
  <c r="L11" i="12"/>
  <c r="N11" i="12" s="1"/>
  <c r="F12" i="12"/>
  <c r="G12" i="12"/>
  <c r="H12" i="12"/>
  <c r="I12" i="12"/>
  <c r="J12" i="12"/>
  <c r="K12" i="12"/>
  <c r="L12" i="12"/>
  <c r="N12" i="12" s="1"/>
  <c r="G13" i="12"/>
  <c r="F13" i="12" s="1"/>
  <c r="H13" i="12"/>
  <c r="I13" i="12"/>
  <c r="J13" i="12"/>
  <c r="K13" i="12"/>
  <c r="L13" i="12"/>
  <c r="G14" i="12"/>
  <c r="F14" i="12" s="1"/>
  <c r="H14" i="12"/>
  <c r="I14" i="12"/>
  <c r="J14" i="12"/>
  <c r="K14" i="12"/>
  <c r="L14" i="12"/>
  <c r="N14" i="12" s="1"/>
  <c r="F15" i="12"/>
  <c r="G15" i="12"/>
  <c r="H15" i="12"/>
  <c r="I15" i="12"/>
  <c r="J15" i="12"/>
  <c r="K15" i="12"/>
  <c r="L15" i="12"/>
  <c r="N15" i="12" s="1"/>
  <c r="G16" i="12"/>
  <c r="F16" i="12" s="1"/>
  <c r="H16" i="12"/>
  <c r="I16" i="12"/>
  <c r="J16" i="12"/>
  <c r="K16" i="12"/>
  <c r="L16" i="12"/>
  <c r="N16" i="12" s="1"/>
  <c r="G17" i="12"/>
  <c r="F17" i="12" s="1"/>
  <c r="H17" i="12"/>
  <c r="I17" i="12"/>
  <c r="J17" i="12"/>
  <c r="K17" i="12"/>
  <c r="L17" i="12"/>
  <c r="N17" i="12" s="1"/>
  <c r="F18" i="12"/>
  <c r="G18" i="12"/>
  <c r="H18" i="12"/>
  <c r="I18" i="12"/>
  <c r="J18" i="12"/>
  <c r="K18" i="12"/>
  <c r="L18" i="12"/>
  <c r="N18" i="12" s="1"/>
  <c r="G19" i="12"/>
  <c r="F19" i="12" s="1"/>
  <c r="H19" i="12"/>
  <c r="I19" i="12"/>
  <c r="J19" i="12"/>
  <c r="K19" i="12"/>
  <c r="L19" i="12"/>
  <c r="N19" i="12" s="1"/>
  <c r="F20" i="12"/>
  <c r="G20" i="12"/>
  <c r="H20" i="12"/>
  <c r="I20" i="12"/>
  <c r="J20" i="12"/>
  <c r="K20" i="12"/>
  <c r="L20" i="12"/>
  <c r="N20" i="12" s="1"/>
  <c r="F21" i="12"/>
  <c r="G21" i="12"/>
  <c r="H21" i="12"/>
  <c r="I21" i="12"/>
  <c r="J21" i="12"/>
  <c r="K21" i="12"/>
  <c r="L21" i="12"/>
  <c r="G22" i="12"/>
  <c r="F22" i="12" s="1"/>
  <c r="H22" i="12"/>
  <c r="I22" i="12"/>
  <c r="J22" i="12"/>
  <c r="K22" i="12"/>
  <c r="L22" i="12"/>
  <c r="N22" i="12" s="1"/>
  <c r="F23" i="12"/>
  <c r="G23" i="12"/>
  <c r="H23" i="12"/>
  <c r="I23" i="12"/>
  <c r="J23" i="12"/>
  <c r="K23" i="12"/>
  <c r="L23" i="12"/>
  <c r="N23" i="12" s="1"/>
  <c r="G24" i="12"/>
  <c r="F24" i="12" s="1"/>
  <c r="H24" i="12"/>
  <c r="I24" i="12"/>
  <c r="J24" i="12"/>
  <c r="K24" i="12"/>
  <c r="L24" i="12"/>
  <c r="N24" i="12" s="1"/>
  <c r="G25" i="12"/>
  <c r="F25" i="12" s="1"/>
  <c r="H25" i="12"/>
  <c r="I25" i="12"/>
  <c r="J25" i="12"/>
  <c r="K25" i="12"/>
  <c r="L25" i="12"/>
  <c r="N25" i="12" s="1"/>
  <c r="F26" i="12"/>
  <c r="G26" i="12"/>
  <c r="H26" i="12"/>
  <c r="I26" i="12"/>
  <c r="J26" i="12"/>
  <c r="K26" i="12"/>
  <c r="L26" i="12"/>
  <c r="N26" i="12" s="1"/>
  <c r="G27" i="12"/>
  <c r="F27" i="12" s="1"/>
  <c r="H27" i="12"/>
  <c r="I27" i="12"/>
  <c r="J27" i="12"/>
  <c r="K27" i="12"/>
  <c r="L27" i="12"/>
  <c r="N27" i="12" s="1"/>
  <c r="F28" i="12"/>
  <c r="G28" i="12"/>
  <c r="H28" i="12"/>
  <c r="I28" i="12"/>
  <c r="J28" i="12"/>
  <c r="K28" i="12"/>
  <c r="L28" i="12"/>
  <c r="N28" i="12" s="1"/>
  <c r="F29" i="12"/>
  <c r="G29" i="12"/>
  <c r="H29" i="12"/>
  <c r="I29" i="12"/>
  <c r="J29" i="12"/>
  <c r="K29" i="12"/>
  <c r="L29" i="12"/>
  <c r="G30" i="12"/>
  <c r="F30" i="12" s="1"/>
  <c r="H30" i="12"/>
  <c r="I30" i="12"/>
  <c r="J30" i="12"/>
  <c r="K30" i="12"/>
  <c r="L30" i="12"/>
  <c r="N30" i="12" s="1"/>
  <c r="F31" i="12"/>
  <c r="G31" i="12"/>
  <c r="H31" i="12"/>
  <c r="I31" i="12"/>
  <c r="J31" i="12"/>
  <c r="K31" i="12"/>
  <c r="L31" i="12"/>
  <c r="N31" i="12" s="1"/>
  <c r="G32" i="12"/>
  <c r="F32" i="12" s="1"/>
  <c r="H32" i="12"/>
  <c r="I32" i="12"/>
  <c r="J32" i="12"/>
  <c r="K32" i="12"/>
  <c r="L32" i="12"/>
  <c r="N32" i="12" s="1"/>
  <c r="G33" i="12"/>
  <c r="F33" i="12" s="1"/>
  <c r="H33" i="12"/>
  <c r="I33" i="12"/>
  <c r="J33" i="12"/>
  <c r="K33" i="12"/>
  <c r="L33" i="12"/>
  <c r="N33" i="12" s="1"/>
  <c r="F34" i="12"/>
  <c r="G34" i="12"/>
  <c r="H34" i="12"/>
  <c r="I34" i="12"/>
  <c r="J34" i="12"/>
  <c r="K34" i="12"/>
  <c r="L34" i="12"/>
  <c r="N34" i="12" s="1"/>
  <c r="G35" i="12"/>
  <c r="F35" i="12" s="1"/>
  <c r="H35" i="12"/>
  <c r="I35" i="12"/>
  <c r="J35" i="12"/>
  <c r="K35" i="12"/>
  <c r="L35" i="12"/>
  <c r="N35" i="12" s="1"/>
  <c r="F36" i="12"/>
  <c r="G36" i="12"/>
  <c r="H36" i="12"/>
  <c r="I36" i="12"/>
  <c r="J36" i="12"/>
  <c r="K36" i="12"/>
  <c r="L36" i="12"/>
  <c r="N36" i="12" s="1"/>
  <c r="F37" i="12"/>
  <c r="G37" i="12"/>
  <c r="H37" i="12"/>
  <c r="I37" i="12"/>
  <c r="J37" i="12"/>
  <c r="K37" i="12"/>
  <c r="L37" i="12"/>
  <c r="G38" i="12"/>
  <c r="F38" i="12" s="1"/>
  <c r="H38" i="12"/>
  <c r="I38" i="12"/>
  <c r="J38" i="12"/>
  <c r="K38" i="12"/>
  <c r="L38" i="12"/>
  <c r="N38" i="12" s="1"/>
  <c r="F39" i="12"/>
  <c r="G39" i="12"/>
  <c r="H39" i="12"/>
  <c r="I39" i="12"/>
  <c r="J39" i="12"/>
  <c r="K39" i="12"/>
  <c r="L39" i="12"/>
  <c r="N39" i="12" s="1"/>
  <c r="G40" i="12"/>
  <c r="F40" i="12" s="1"/>
  <c r="H40" i="12"/>
  <c r="I40" i="12"/>
  <c r="J40" i="12"/>
  <c r="K40" i="12"/>
  <c r="L40" i="12"/>
  <c r="N40" i="12" s="1"/>
  <c r="G41" i="12"/>
  <c r="F41" i="12" s="1"/>
  <c r="H41" i="12"/>
  <c r="I41" i="12"/>
  <c r="J41" i="12"/>
  <c r="K41" i="12"/>
  <c r="L41" i="12"/>
  <c r="N41" i="12" s="1"/>
  <c r="F42" i="12"/>
  <c r="G42" i="12"/>
  <c r="H42" i="12"/>
  <c r="I42" i="12"/>
  <c r="J42" i="12"/>
  <c r="K42" i="12"/>
  <c r="L42" i="12"/>
  <c r="N42" i="12" s="1"/>
  <c r="G43" i="12"/>
  <c r="F43" i="12" s="1"/>
  <c r="H43" i="12"/>
  <c r="I43" i="12"/>
  <c r="J43" i="12"/>
  <c r="K43" i="12"/>
  <c r="L43" i="12"/>
  <c r="N43" i="12" s="1"/>
  <c r="F44" i="12"/>
  <c r="G44" i="12"/>
  <c r="H44" i="12"/>
  <c r="I44" i="12"/>
  <c r="J44" i="12"/>
  <c r="K44" i="12"/>
  <c r="L44" i="12"/>
  <c r="N44" i="12" s="1"/>
  <c r="G45" i="12"/>
  <c r="F45" i="12" s="1"/>
  <c r="H45" i="12"/>
  <c r="I45" i="12"/>
  <c r="J45" i="12"/>
  <c r="K45" i="12"/>
  <c r="L45" i="12"/>
  <c r="G46" i="12"/>
  <c r="F46" i="12" s="1"/>
  <c r="H46" i="12"/>
  <c r="I46" i="12"/>
  <c r="J46" i="12"/>
  <c r="K46" i="12"/>
  <c r="L46" i="12"/>
  <c r="N46" i="12" s="1"/>
  <c r="F47" i="12"/>
  <c r="G47" i="12"/>
  <c r="H47" i="12"/>
  <c r="I47" i="12"/>
  <c r="J47" i="12"/>
  <c r="K47" i="12"/>
  <c r="L47" i="12"/>
  <c r="N47" i="12" s="1"/>
  <c r="G48" i="12"/>
  <c r="F48" i="12" s="1"/>
  <c r="H48" i="12"/>
  <c r="I48" i="12"/>
  <c r="J48" i="12"/>
  <c r="K48" i="12"/>
  <c r="L48" i="12"/>
  <c r="N48" i="12" s="1"/>
  <c r="G49" i="12"/>
  <c r="F49" i="12" s="1"/>
  <c r="H49" i="12"/>
  <c r="I49" i="12"/>
  <c r="J49" i="12"/>
  <c r="K49" i="12"/>
  <c r="L49" i="12"/>
  <c r="N49" i="12" s="1"/>
  <c r="F50" i="12"/>
  <c r="G50" i="12"/>
  <c r="H50" i="12"/>
  <c r="I50" i="12"/>
  <c r="J50" i="12"/>
  <c r="K50" i="12"/>
  <c r="L50" i="12"/>
  <c r="N50" i="12" s="1"/>
  <c r="G51" i="12"/>
  <c r="F51" i="12" s="1"/>
  <c r="H51" i="12"/>
  <c r="I51" i="12"/>
  <c r="J51" i="12"/>
  <c r="K51" i="12"/>
  <c r="L51" i="12"/>
  <c r="N51" i="12" s="1"/>
  <c r="F52" i="12"/>
  <c r="G52" i="12"/>
  <c r="H52" i="12"/>
  <c r="I52" i="12"/>
  <c r="J52" i="12"/>
  <c r="K52" i="12"/>
  <c r="L52" i="12"/>
  <c r="N52" i="12" s="1"/>
  <c r="F53" i="12"/>
  <c r="G53" i="12"/>
  <c r="H53" i="12"/>
  <c r="I53" i="12"/>
  <c r="J53" i="12"/>
  <c r="K53" i="12"/>
  <c r="L53" i="12"/>
  <c r="G54" i="12"/>
  <c r="F54" i="12" s="1"/>
  <c r="H54" i="12"/>
  <c r="I54" i="12"/>
  <c r="J54" i="12"/>
  <c r="K54" i="12"/>
  <c r="L54" i="12"/>
  <c r="N54" i="12" s="1"/>
  <c r="F55" i="12"/>
  <c r="G55" i="12"/>
  <c r="H55" i="12"/>
  <c r="I55" i="12"/>
  <c r="J55" i="12"/>
  <c r="K55" i="12"/>
  <c r="L55" i="12"/>
  <c r="N55" i="12" s="1"/>
  <c r="G56" i="12"/>
  <c r="F56" i="12" s="1"/>
  <c r="H56" i="12"/>
  <c r="I56" i="12"/>
  <c r="J56" i="12"/>
  <c r="K56" i="12"/>
  <c r="L56" i="12"/>
  <c r="N56" i="12" s="1"/>
  <c r="G57" i="12"/>
  <c r="F57" i="12" s="1"/>
  <c r="H57" i="12"/>
  <c r="I57" i="12"/>
  <c r="J57" i="12"/>
  <c r="K57" i="12"/>
  <c r="L57" i="12"/>
  <c r="N57" i="12" s="1"/>
  <c r="F58" i="12"/>
  <c r="G58" i="12"/>
  <c r="H58" i="12"/>
  <c r="I58" i="12"/>
  <c r="J58" i="12"/>
  <c r="K58" i="12"/>
  <c r="L58" i="12"/>
  <c r="N58" i="12" s="1"/>
  <c r="G59" i="12"/>
  <c r="F59" i="12" s="1"/>
  <c r="H59" i="12"/>
  <c r="I59" i="12"/>
  <c r="J59" i="12"/>
  <c r="K59" i="12"/>
  <c r="L59" i="12"/>
  <c r="N59" i="12" s="1"/>
  <c r="G60" i="12"/>
  <c r="F60" i="12" s="1"/>
  <c r="H60" i="12"/>
  <c r="I60" i="12"/>
  <c r="J60" i="12"/>
  <c r="K60" i="12"/>
  <c r="L60" i="12"/>
  <c r="N60" i="12" s="1"/>
  <c r="F61" i="12"/>
  <c r="G61" i="12"/>
  <c r="H61" i="12"/>
  <c r="I61" i="12"/>
  <c r="J61" i="12"/>
  <c r="K61" i="12"/>
  <c r="L61" i="12"/>
  <c r="G62" i="12"/>
  <c r="F62" i="12" s="1"/>
  <c r="H62" i="12"/>
  <c r="I62" i="12"/>
  <c r="J62" i="12"/>
  <c r="K62" i="12"/>
  <c r="L62" i="12"/>
  <c r="N62" i="12" s="1"/>
  <c r="F63" i="12"/>
  <c r="G63" i="12"/>
  <c r="H63" i="12"/>
  <c r="I63" i="12"/>
  <c r="J63" i="12"/>
  <c r="K63" i="12"/>
  <c r="L63" i="12"/>
  <c r="N63" i="12" s="1"/>
  <c r="G64" i="12"/>
  <c r="F64" i="12" s="1"/>
  <c r="H64" i="12"/>
  <c r="I64" i="12"/>
  <c r="J64" i="12"/>
  <c r="K64" i="12"/>
  <c r="L64" i="12"/>
  <c r="N64" i="12" s="1"/>
  <c r="G65" i="12"/>
  <c r="F65" i="12" s="1"/>
  <c r="H65" i="12"/>
  <c r="I65" i="12"/>
  <c r="J65" i="12"/>
  <c r="K65" i="12"/>
  <c r="L65" i="12"/>
  <c r="N65" i="12" s="1"/>
  <c r="F66" i="12"/>
  <c r="G66" i="12"/>
  <c r="H66" i="12"/>
  <c r="I66" i="12"/>
  <c r="J66" i="12"/>
  <c r="K66" i="12"/>
  <c r="L66" i="12"/>
  <c r="N66" i="12" s="1"/>
  <c r="F67" i="12"/>
  <c r="G67" i="12"/>
  <c r="H67" i="12"/>
  <c r="I67" i="12"/>
  <c r="J67" i="12"/>
  <c r="K67" i="12"/>
  <c r="L67" i="12"/>
  <c r="N67" i="12" s="1"/>
  <c r="F68" i="12"/>
  <c r="G68" i="12"/>
  <c r="H68" i="12"/>
  <c r="I68" i="12"/>
  <c r="J68" i="12"/>
  <c r="K68" i="12"/>
  <c r="L68" i="12"/>
  <c r="N68" i="12" s="1"/>
  <c r="G69" i="12"/>
  <c r="F69" i="12" s="1"/>
  <c r="H69" i="12"/>
  <c r="I69" i="12"/>
  <c r="J69" i="12"/>
  <c r="K69" i="12"/>
  <c r="L69" i="12"/>
  <c r="N69" i="12" s="1"/>
  <c r="G70" i="12"/>
  <c r="F70" i="12" s="1"/>
  <c r="H70" i="12"/>
  <c r="I70" i="12"/>
  <c r="J70" i="12"/>
  <c r="K70" i="12"/>
  <c r="L70" i="12"/>
  <c r="N70" i="12" s="1"/>
  <c r="F71" i="12"/>
  <c r="G71" i="12"/>
  <c r="H71" i="12"/>
  <c r="I71" i="12"/>
  <c r="J71" i="12"/>
  <c r="K71" i="12"/>
  <c r="L71" i="12"/>
  <c r="N71" i="12" s="1"/>
  <c r="G72" i="12"/>
  <c r="F72" i="12" s="1"/>
  <c r="H72" i="12"/>
  <c r="I72" i="12"/>
  <c r="J72" i="12"/>
  <c r="K72" i="12"/>
  <c r="L72" i="12"/>
  <c r="N72" i="12" s="1"/>
  <c r="G73" i="12"/>
  <c r="F73" i="12" s="1"/>
  <c r="H73" i="12"/>
  <c r="I73" i="12"/>
  <c r="J73" i="12"/>
  <c r="K73" i="12"/>
  <c r="L73" i="12"/>
  <c r="N73" i="12" s="1"/>
  <c r="F74" i="12"/>
  <c r="G74" i="12"/>
  <c r="H74" i="12"/>
  <c r="I74" i="12"/>
  <c r="J74" i="12"/>
  <c r="K74" i="12"/>
  <c r="L74" i="12"/>
  <c r="N74" i="12" s="1"/>
  <c r="F75" i="12"/>
  <c r="G75" i="12"/>
  <c r="H75" i="12"/>
  <c r="I75" i="12"/>
  <c r="J75" i="12"/>
  <c r="K75" i="12"/>
  <c r="L75" i="12"/>
  <c r="N75" i="12" s="1"/>
  <c r="F76" i="12"/>
  <c r="G76" i="12"/>
  <c r="H76" i="12"/>
  <c r="I76" i="12"/>
  <c r="J76" i="12"/>
  <c r="K76" i="12"/>
  <c r="L76" i="12"/>
  <c r="N76" i="12" s="1"/>
  <c r="F77" i="12"/>
  <c r="G77" i="12"/>
  <c r="H77" i="12"/>
  <c r="I77" i="12"/>
  <c r="J77" i="12"/>
  <c r="K77" i="12"/>
  <c r="L77" i="12"/>
  <c r="N77" i="12" s="1"/>
  <c r="G78" i="12"/>
  <c r="F78" i="12" s="1"/>
  <c r="H78" i="12"/>
  <c r="I78" i="12"/>
  <c r="J78" i="12"/>
  <c r="K78" i="12"/>
  <c r="L78" i="12"/>
  <c r="N78" i="12" s="1"/>
  <c r="F79" i="12"/>
  <c r="G79" i="12"/>
  <c r="H79" i="12"/>
  <c r="I79" i="12"/>
  <c r="J79" i="12"/>
  <c r="K79" i="12"/>
  <c r="L79" i="12"/>
  <c r="N79" i="12" s="1"/>
  <c r="G80" i="12"/>
  <c r="F80" i="12" s="1"/>
  <c r="H80" i="12"/>
  <c r="I80" i="12"/>
  <c r="J80" i="12"/>
  <c r="K80" i="12"/>
  <c r="L80" i="12"/>
  <c r="N80" i="12" s="1"/>
  <c r="G81" i="12"/>
  <c r="F81" i="12" s="1"/>
  <c r="H81" i="12"/>
  <c r="I81" i="12"/>
  <c r="J81" i="12"/>
  <c r="K81" i="12"/>
  <c r="L81" i="12"/>
  <c r="N81" i="12" s="1"/>
  <c r="F82" i="12"/>
  <c r="G82" i="12"/>
  <c r="H82" i="12"/>
  <c r="I82" i="12"/>
  <c r="J82" i="12"/>
  <c r="K82" i="12"/>
  <c r="L82" i="12"/>
  <c r="N82" i="12" s="1"/>
  <c r="F83" i="12"/>
  <c r="G83" i="12"/>
  <c r="H83" i="12"/>
  <c r="I83" i="12"/>
  <c r="J83" i="12"/>
  <c r="K83" i="12"/>
  <c r="L83" i="12"/>
  <c r="N83" i="12" s="1"/>
  <c r="F84" i="12"/>
  <c r="G84" i="12"/>
  <c r="H84" i="12"/>
  <c r="I84" i="12"/>
  <c r="J84" i="12"/>
  <c r="K84" i="12"/>
  <c r="L84" i="12"/>
  <c r="N84" i="12" s="1"/>
  <c r="F85" i="12"/>
  <c r="G85" i="12"/>
  <c r="H85" i="12"/>
  <c r="I85" i="12"/>
  <c r="J85" i="12"/>
  <c r="K85" i="12"/>
  <c r="L85" i="12"/>
  <c r="N85" i="12" s="1"/>
  <c r="G86" i="12"/>
  <c r="F86" i="12" s="1"/>
  <c r="H86" i="12"/>
  <c r="I86" i="12"/>
  <c r="J86" i="12"/>
  <c r="K86" i="12"/>
  <c r="L86" i="12"/>
  <c r="N86" i="12" s="1"/>
  <c r="F87" i="12"/>
  <c r="G87" i="12"/>
  <c r="H87" i="12"/>
  <c r="I87" i="12"/>
  <c r="J87" i="12"/>
  <c r="K87" i="12"/>
  <c r="L87" i="12"/>
  <c r="N87" i="12" s="1"/>
  <c r="G88" i="12"/>
  <c r="F88" i="12" s="1"/>
  <c r="H88" i="12"/>
  <c r="I88" i="12"/>
  <c r="J88" i="12"/>
  <c r="K88" i="12"/>
  <c r="L88" i="12"/>
  <c r="N88" i="12" s="1"/>
  <c r="G89" i="12"/>
  <c r="F89" i="12" s="1"/>
  <c r="H89" i="12"/>
  <c r="I89" i="12"/>
  <c r="J89" i="12"/>
  <c r="K89" i="12"/>
  <c r="L89" i="12"/>
  <c r="N89" i="12" s="1"/>
  <c r="F90" i="12"/>
  <c r="G90" i="12"/>
  <c r="H90" i="12"/>
  <c r="I90" i="12"/>
  <c r="J90" i="12"/>
  <c r="K90" i="12"/>
  <c r="L90" i="12"/>
  <c r="N90" i="12" s="1"/>
  <c r="F91" i="12"/>
  <c r="G91" i="12"/>
  <c r="H91" i="12"/>
  <c r="I91" i="12"/>
  <c r="J91" i="12"/>
  <c r="K91" i="12"/>
  <c r="L91" i="12"/>
  <c r="N91" i="12" s="1"/>
  <c r="F92" i="12"/>
  <c r="G92" i="12"/>
  <c r="H92" i="12"/>
  <c r="I92" i="12"/>
  <c r="J92" i="12"/>
  <c r="K92" i="12"/>
  <c r="L92" i="12"/>
  <c r="N92" i="12" s="1"/>
  <c r="F93" i="12"/>
  <c r="G93" i="12"/>
  <c r="H93" i="12"/>
  <c r="I93" i="12"/>
  <c r="J93" i="12"/>
  <c r="K93" i="12"/>
  <c r="L93" i="12"/>
  <c r="N93" i="12" s="1"/>
  <c r="G94" i="12"/>
  <c r="F94" i="12" s="1"/>
  <c r="H94" i="12"/>
  <c r="I94" i="12"/>
  <c r="J94" i="12"/>
  <c r="K94" i="12"/>
  <c r="L94" i="12"/>
  <c r="N94" i="12" s="1"/>
  <c r="F95" i="12"/>
  <c r="G95" i="12"/>
  <c r="H95" i="12"/>
  <c r="I95" i="12"/>
  <c r="J95" i="12"/>
  <c r="K95" i="12"/>
  <c r="L95" i="12"/>
  <c r="N95" i="12" s="1"/>
  <c r="G96" i="12"/>
  <c r="F96" i="12" s="1"/>
  <c r="H96" i="12"/>
  <c r="I96" i="12"/>
  <c r="J96" i="12"/>
  <c r="K96" i="12"/>
  <c r="L96" i="12"/>
  <c r="N96" i="12" s="1"/>
  <c r="G97" i="12"/>
  <c r="F97" i="12" s="1"/>
  <c r="H97" i="12"/>
  <c r="I97" i="12"/>
  <c r="J97" i="12"/>
  <c r="K97" i="12"/>
  <c r="L97" i="12"/>
  <c r="N97" i="12" s="1"/>
  <c r="F98" i="12"/>
  <c r="G98" i="12"/>
  <c r="H98" i="12"/>
  <c r="I98" i="12"/>
  <c r="J98" i="12"/>
  <c r="K98" i="12"/>
  <c r="L98" i="12"/>
  <c r="N98" i="12" s="1"/>
  <c r="F99" i="12"/>
  <c r="G99" i="12"/>
  <c r="H99" i="12"/>
  <c r="I99" i="12"/>
  <c r="J99" i="12"/>
  <c r="K99" i="12"/>
  <c r="L99" i="12"/>
  <c r="N99" i="12" s="1"/>
  <c r="F100" i="12"/>
  <c r="G100" i="12"/>
  <c r="H100" i="12"/>
  <c r="I100" i="12"/>
  <c r="J100" i="12"/>
  <c r="K100" i="12"/>
  <c r="L100" i="12"/>
  <c r="N100" i="12" s="1"/>
  <c r="F101" i="12"/>
  <c r="G101" i="12"/>
  <c r="H101" i="12"/>
  <c r="I101" i="12"/>
  <c r="J101" i="12"/>
  <c r="K101" i="12"/>
  <c r="L101" i="12"/>
  <c r="N101" i="12" s="1"/>
  <c r="G102" i="12"/>
  <c r="F102" i="12" s="1"/>
  <c r="H102" i="12"/>
  <c r="I102" i="12"/>
  <c r="J102" i="12"/>
  <c r="K102" i="12"/>
  <c r="L102" i="12"/>
  <c r="N102" i="12" s="1"/>
  <c r="F103" i="12"/>
  <c r="G103" i="12"/>
  <c r="H103" i="12"/>
  <c r="I103" i="12"/>
  <c r="J103" i="12"/>
  <c r="K103" i="12"/>
  <c r="L103" i="12"/>
  <c r="N103" i="12" s="1"/>
  <c r="G104" i="12"/>
  <c r="F104" i="12" s="1"/>
  <c r="H104" i="12"/>
  <c r="I104" i="12"/>
  <c r="J104" i="12"/>
  <c r="K104" i="12"/>
  <c r="L104" i="12"/>
  <c r="N104" i="12" s="1"/>
  <c r="G105" i="12"/>
  <c r="F105" i="12" s="1"/>
  <c r="H105" i="12"/>
  <c r="I105" i="12"/>
  <c r="J105" i="12"/>
  <c r="K105" i="12"/>
  <c r="L105" i="12"/>
  <c r="N105" i="12" s="1"/>
  <c r="F106" i="12"/>
  <c r="G106" i="12"/>
  <c r="H106" i="12"/>
  <c r="I106" i="12"/>
  <c r="J106" i="12"/>
  <c r="K106" i="12"/>
  <c r="L106" i="12"/>
  <c r="N106" i="12" s="1"/>
  <c r="F107" i="12"/>
  <c r="G107" i="12"/>
  <c r="H107" i="12"/>
  <c r="I107" i="12"/>
  <c r="J107" i="12"/>
  <c r="K107" i="12"/>
  <c r="L107" i="12"/>
  <c r="N107" i="12" s="1"/>
  <c r="G108" i="12"/>
  <c r="F108" i="12" s="1"/>
  <c r="H108" i="12"/>
  <c r="I108" i="12"/>
  <c r="J108" i="12"/>
  <c r="K108" i="12"/>
  <c r="L108" i="12"/>
  <c r="N108" i="12" s="1"/>
  <c r="F109" i="12"/>
  <c r="G109" i="12"/>
  <c r="H109" i="12"/>
  <c r="I109" i="12"/>
  <c r="J109" i="12"/>
  <c r="K109" i="12"/>
  <c r="L109" i="12"/>
  <c r="N109" i="12" s="1"/>
  <c r="G110" i="12"/>
  <c r="F110" i="12" s="1"/>
  <c r="H110" i="12"/>
  <c r="I110" i="12"/>
  <c r="J110" i="12"/>
  <c r="K110" i="12"/>
  <c r="L110" i="12"/>
  <c r="N110" i="12" s="1"/>
  <c r="F111" i="12"/>
  <c r="G111" i="12"/>
  <c r="H111" i="12"/>
  <c r="I111" i="12"/>
  <c r="J111" i="12"/>
  <c r="K111" i="12"/>
  <c r="L111" i="12"/>
  <c r="N111" i="12" s="1"/>
  <c r="G112" i="12"/>
  <c r="F112" i="12" s="1"/>
  <c r="H112" i="12"/>
  <c r="I112" i="12"/>
  <c r="J112" i="12"/>
  <c r="K112" i="12"/>
  <c r="L112" i="12"/>
  <c r="N112" i="12" s="1"/>
  <c r="G113" i="12"/>
  <c r="F113" i="12" s="1"/>
  <c r="H113" i="12"/>
  <c r="I113" i="12"/>
  <c r="J113" i="12"/>
  <c r="K113" i="12"/>
  <c r="L113" i="12"/>
  <c r="N113" i="12" s="1"/>
  <c r="F114" i="12"/>
  <c r="G114" i="12"/>
  <c r="H114" i="12"/>
  <c r="I114" i="12"/>
  <c r="J114" i="12"/>
  <c r="K114" i="12"/>
  <c r="L114" i="12"/>
  <c r="N114" i="12" s="1"/>
  <c r="F115" i="12"/>
  <c r="G115" i="12"/>
  <c r="H115" i="12"/>
  <c r="I115" i="12"/>
  <c r="J115" i="12"/>
  <c r="K115" i="12"/>
  <c r="L115" i="12"/>
  <c r="N115" i="12" s="1"/>
  <c r="G116" i="12"/>
  <c r="F116" i="12" s="1"/>
  <c r="H116" i="12"/>
  <c r="I116" i="12"/>
  <c r="J116" i="12"/>
  <c r="K116" i="12"/>
  <c r="L116" i="12"/>
  <c r="N116" i="12" s="1"/>
  <c r="F117" i="12"/>
  <c r="G117" i="12"/>
  <c r="H117" i="12"/>
  <c r="I117" i="12"/>
  <c r="J117" i="12"/>
  <c r="K117" i="12"/>
  <c r="L117" i="12"/>
  <c r="G118" i="12"/>
  <c r="F118" i="12" s="1"/>
  <c r="H118" i="12"/>
  <c r="I118" i="12"/>
  <c r="J118" i="12"/>
  <c r="K118" i="12"/>
  <c r="L118" i="12"/>
  <c r="N118" i="12" s="1"/>
  <c r="F119" i="12"/>
  <c r="G119" i="12"/>
  <c r="H119" i="12"/>
  <c r="I119" i="12"/>
  <c r="J119" i="12"/>
  <c r="K119" i="12"/>
  <c r="L119" i="12"/>
  <c r="N119" i="12" s="1"/>
  <c r="G120" i="12"/>
  <c r="F120" i="12" s="1"/>
  <c r="H120" i="12"/>
  <c r="I120" i="12"/>
  <c r="J120" i="12"/>
  <c r="K120" i="12"/>
  <c r="L120" i="12"/>
  <c r="N120" i="12" s="1"/>
  <c r="G121" i="12"/>
  <c r="F121" i="12" s="1"/>
  <c r="H121" i="12"/>
  <c r="I121" i="12"/>
  <c r="J121" i="12"/>
  <c r="K121" i="12"/>
  <c r="L121" i="12"/>
  <c r="N121" i="12" s="1"/>
  <c r="F122" i="12"/>
  <c r="G122" i="12"/>
  <c r="H122" i="12"/>
  <c r="I122" i="12"/>
  <c r="J122" i="12"/>
  <c r="K122" i="12"/>
  <c r="L122" i="12"/>
  <c r="N122" i="12" s="1"/>
  <c r="F123" i="12"/>
  <c r="G123" i="12"/>
  <c r="H123" i="12"/>
  <c r="I123" i="12"/>
  <c r="J123" i="12"/>
  <c r="K123" i="12"/>
  <c r="L123" i="12"/>
  <c r="N123" i="12" s="1"/>
  <c r="G124" i="12"/>
  <c r="F124" i="12" s="1"/>
  <c r="H124" i="12"/>
  <c r="I124" i="12"/>
  <c r="J124" i="12"/>
  <c r="K124" i="12"/>
  <c r="L124" i="12"/>
  <c r="N124" i="12" s="1"/>
  <c r="F125" i="12"/>
  <c r="G125" i="12"/>
  <c r="H125" i="12"/>
  <c r="I125" i="12"/>
  <c r="J125" i="12"/>
  <c r="K125" i="12"/>
  <c r="L125" i="12"/>
  <c r="G126" i="12"/>
  <c r="F126" i="12" s="1"/>
  <c r="H126" i="12"/>
  <c r="I126" i="12"/>
  <c r="J126" i="12"/>
  <c r="K126" i="12"/>
  <c r="L126" i="12"/>
  <c r="N126" i="12" s="1"/>
  <c r="F127" i="12"/>
  <c r="G127" i="12"/>
  <c r="H127" i="12"/>
  <c r="I127" i="12"/>
  <c r="J127" i="12"/>
  <c r="K127" i="12"/>
  <c r="L127" i="12"/>
  <c r="N127" i="12" s="1"/>
  <c r="G128" i="12"/>
  <c r="F128" i="12" s="1"/>
  <c r="H128" i="12"/>
  <c r="I128" i="12"/>
  <c r="J128" i="12"/>
  <c r="K128" i="12"/>
  <c r="L128" i="12"/>
  <c r="N128" i="12" s="1"/>
  <c r="G129" i="12"/>
  <c r="F129" i="12" s="1"/>
  <c r="H129" i="12"/>
  <c r="I129" i="12"/>
  <c r="J129" i="12"/>
  <c r="K129" i="12"/>
  <c r="L129" i="12"/>
  <c r="N129" i="12" s="1"/>
  <c r="F130" i="12"/>
  <c r="G130" i="12"/>
  <c r="H130" i="12"/>
  <c r="I130" i="12"/>
  <c r="J130" i="12"/>
  <c r="K130" i="12"/>
  <c r="L130" i="12"/>
  <c r="N130" i="12" s="1"/>
  <c r="F131" i="12"/>
  <c r="G131" i="12"/>
  <c r="H131" i="12"/>
  <c r="I131" i="12"/>
  <c r="J131" i="12"/>
  <c r="K131" i="12"/>
  <c r="L131" i="12"/>
  <c r="N131" i="12" s="1"/>
  <c r="G132" i="12"/>
  <c r="F132" i="12" s="1"/>
  <c r="H132" i="12"/>
  <c r="I132" i="12"/>
  <c r="J132" i="12"/>
  <c r="K132" i="12"/>
  <c r="L132" i="12"/>
  <c r="N132" i="12" s="1"/>
  <c r="F133" i="12"/>
  <c r="G133" i="12"/>
  <c r="H133" i="12"/>
  <c r="I133" i="12"/>
  <c r="J133" i="12"/>
  <c r="K133" i="12"/>
  <c r="L133" i="12"/>
  <c r="L2" i="12"/>
  <c r="N2" i="12" s="1"/>
  <c r="K2" i="12"/>
  <c r="J2" i="12"/>
  <c r="I2" i="12"/>
  <c r="H2" i="12"/>
  <c r="G2" i="12"/>
  <c r="F2" i="12" s="1"/>
  <c r="AN1" i="9"/>
  <c r="AM1" i="9"/>
  <c r="AL1" i="9"/>
  <c r="AK1" i="9"/>
  <c r="AJ1" i="9"/>
  <c r="AI1" i="9"/>
  <c r="AH1" i="9"/>
  <c r="AG1" i="9"/>
  <c r="AF1" i="9"/>
  <c r="AE1" i="9"/>
  <c r="AD1" i="9"/>
  <c r="AC1" i="9"/>
  <c r="AB3" i="9"/>
  <c r="AB4" i="9"/>
  <c r="AB5" i="9"/>
  <c r="AB6" i="9"/>
  <c r="AB7" i="9"/>
  <c r="AB8" i="9"/>
  <c r="AB9" i="9"/>
  <c r="AB10" i="9"/>
  <c r="AB11" i="9"/>
  <c r="AB12" i="9"/>
  <c r="AB13" i="9"/>
  <c r="AB2" i="9"/>
  <c r="F3" i="8"/>
  <c r="G3" i="8"/>
  <c r="H3" i="8"/>
  <c r="I3" i="8"/>
  <c r="J3" i="8"/>
  <c r="L3" i="8" s="1"/>
  <c r="M3" i="12" s="1"/>
  <c r="F4" i="8"/>
  <c r="G4" i="8"/>
  <c r="H4" i="8"/>
  <c r="I4" i="8"/>
  <c r="J4" i="8"/>
  <c r="L4" i="8" s="1"/>
  <c r="M4" i="12" s="1"/>
  <c r="F5" i="8"/>
  <c r="G5" i="8"/>
  <c r="H5" i="8"/>
  <c r="I5" i="8"/>
  <c r="L5" i="8" s="1"/>
  <c r="M5" i="12" s="1"/>
  <c r="J5" i="8"/>
  <c r="F6" i="8"/>
  <c r="G6" i="8"/>
  <c r="H6" i="8"/>
  <c r="I6" i="8"/>
  <c r="J6" i="8"/>
  <c r="L6" i="8"/>
  <c r="M6" i="12" s="1"/>
  <c r="F7" i="8"/>
  <c r="G7" i="8"/>
  <c r="H7" i="8"/>
  <c r="I7" i="8"/>
  <c r="J7" i="8"/>
  <c r="L7" i="8" s="1"/>
  <c r="M7" i="12" s="1"/>
  <c r="F8" i="8"/>
  <c r="G8" i="8"/>
  <c r="H8" i="8"/>
  <c r="I8" i="8"/>
  <c r="L8" i="8" s="1"/>
  <c r="M8" i="12" s="1"/>
  <c r="J8" i="8"/>
  <c r="F9" i="8"/>
  <c r="G9" i="8"/>
  <c r="H9" i="8"/>
  <c r="I9" i="8"/>
  <c r="L9" i="8" s="1"/>
  <c r="M9" i="12" s="1"/>
  <c r="J9" i="8"/>
  <c r="F10" i="8"/>
  <c r="G10" i="8"/>
  <c r="H10" i="8"/>
  <c r="I10" i="8"/>
  <c r="J10" i="8"/>
  <c r="L10" i="8"/>
  <c r="M10" i="12" s="1"/>
  <c r="F11" i="8"/>
  <c r="G11" i="8"/>
  <c r="H11" i="8"/>
  <c r="I11" i="8"/>
  <c r="J11" i="8"/>
  <c r="L11" i="8" s="1"/>
  <c r="M11" i="12" s="1"/>
  <c r="F12" i="8"/>
  <c r="G12" i="8"/>
  <c r="H12" i="8"/>
  <c r="I12" i="8"/>
  <c r="L12" i="8" s="1"/>
  <c r="M12" i="12" s="1"/>
  <c r="J12" i="8"/>
  <c r="F13" i="8"/>
  <c r="G13" i="8"/>
  <c r="H13" i="8"/>
  <c r="I13" i="8"/>
  <c r="L13" i="8" s="1"/>
  <c r="M13" i="12" s="1"/>
  <c r="J13" i="8"/>
  <c r="F14" i="8"/>
  <c r="G14" i="8"/>
  <c r="H14" i="8"/>
  <c r="I14" i="8"/>
  <c r="J14" i="8"/>
  <c r="L14" i="8"/>
  <c r="M14" i="12" s="1"/>
  <c r="F15" i="8"/>
  <c r="G15" i="8"/>
  <c r="H15" i="8"/>
  <c r="I15" i="8"/>
  <c r="J15" i="8"/>
  <c r="L15" i="8" s="1"/>
  <c r="M15" i="12" s="1"/>
  <c r="F16" i="8"/>
  <c r="G16" i="8"/>
  <c r="H16" i="8"/>
  <c r="I16" i="8"/>
  <c r="L16" i="8" s="1"/>
  <c r="M16" i="12" s="1"/>
  <c r="J16" i="8"/>
  <c r="F17" i="8"/>
  <c r="G17" i="8"/>
  <c r="H17" i="8"/>
  <c r="I17" i="8"/>
  <c r="L17" i="8" s="1"/>
  <c r="M17" i="12" s="1"/>
  <c r="J17" i="8"/>
  <c r="F18" i="8"/>
  <c r="G18" i="8"/>
  <c r="H18" i="8"/>
  <c r="I18" i="8"/>
  <c r="J18" i="8"/>
  <c r="L18" i="8"/>
  <c r="M18" i="12" s="1"/>
  <c r="F19" i="8"/>
  <c r="G19" i="8"/>
  <c r="H19" i="8"/>
  <c r="I19" i="8"/>
  <c r="J19" i="8"/>
  <c r="L19" i="8" s="1"/>
  <c r="M19" i="12" s="1"/>
  <c r="F20" i="8"/>
  <c r="G20" i="8"/>
  <c r="H20" i="8"/>
  <c r="I20" i="8"/>
  <c r="L20" i="8" s="1"/>
  <c r="M20" i="12" s="1"/>
  <c r="J20" i="8"/>
  <c r="F21" i="8"/>
  <c r="G21" i="8"/>
  <c r="H21" i="8"/>
  <c r="I21" i="8"/>
  <c r="L21" i="8" s="1"/>
  <c r="M21" i="12" s="1"/>
  <c r="J21" i="8"/>
  <c r="F22" i="8"/>
  <c r="G22" i="8"/>
  <c r="H22" i="8"/>
  <c r="I22" i="8"/>
  <c r="J22" i="8"/>
  <c r="L22" i="8"/>
  <c r="M22" i="12" s="1"/>
  <c r="F23" i="8"/>
  <c r="G23" i="8"/>
  <c r="H23" i="8"/>
  <c r="I23" i="8"/>
  <c r="J23" i="8"/>
  <c r="L23" i="8" s="1"/>
  <c r="M23" i="12" s="1"/>
  <c r="F24" i="8"/>
  <c r="G24" i="8"/>
  <c r="H24" i="8"/>
  <c r="I24" i="8"/>
  <c r="J24" i="8"/>
  <c r="L24" i="8" s="1"/>
  <c r="M24" i="12" s="1"/>
  <c r="F25" i="8"/>
  <c r="G25" i="8"/>
  <c r="H25" i="8"/>
  <c r="I25" i="8"/>
  <c r="L25" i="8" s="1"/>
  <c r="M25" i="12" s="1"/>
  <c r="J25" i="8"/>
  <c r="F26" i="8"/>
  <c r="G26" i="8"/>
  <c r="H26" i="8"/>
  <c r="I26" i="8"/>
  <c r="J26" i="8"/>
  <c r="L26" i="8"/>
  <c r="M26" i="12" s="1"/>
  <c r="F27" i="8"/>
  <c r="G27" i="8"/>
  <c r="H27" i="8"/>
  <c r="I27" i="8"/>
  <c r="J27" i="8"/>
  <c r="L27" i="8" s="1"/>
  <c r="M27" i="12" s="1"/>
  <c r="F28" i="8"/>
  <c r="G28" i="8"/>
  <c r="H28" i="8"/>
  <c r="I28" i="8"/>
  <c r="J28" i="8"/>
  <c r="L28" i="8" s="1"/>
  <c r="M28" i="12" s="1"/>
  <c r="F29" i="8"/>
  <c r="G29" i="8"/>
  <c r="H29" i="8"/>
  <c r="I29" i="8"/>
  <c r="L29" i="8" s="1"/>
  <c r="M29" i="12" s="1"/>
  <c r="J29" i="8"/>
  <c r="F30" i="8"/>
  <c r="G30" i="8"/>
  <c r="H30" i="8"/>
  <c r="I30" i="8"/>
  <c r="J30" i="8"/>
  <c r="L30" i="8"/>
  <c r="M30" i="12" s="1"/>
  <c r="F31" i="8"/>
  <c r="G31" i="8"/>
  <c r="H31" i="8"/>
  <c r="I31" i="8"/>
  <c r="J31" i="8"/>
  <c r="L31" i="8" s="1"/>
  <c r="M31" i="12" s="1"/>
  <c r="F32" i="8"/>
  <c r="G32" i="8"/>
  <c r="H32" i="8"/>
  <c r="I32" i="8"/>
  <c r="L32" i="8" s="1"/>
  <c r="M32" i="12" s="1"/>
  <c r="J32" i="8"/>
  <c r="F33" i="8"/>
  <c r="G33" i="8"/>
  <c r="H33" i="8"/>
  <c r="I33" i="8"/>
  <c r="L33" i="8" s="1"/>
  <c r="M33" i="12" s="1"/>
  <c r="J33" i="8"/>
  <c r="F34" i="8"/>
  <c r="G34" i="8"/>
  <c r="H34" i="8"/>
  <c r="I34" i="8"/>
  <c r="J34" i="8"/>
  <c r="L34" i="8"/>
  <c r="M34" i="12" s="1"/>
  <c r="F35" i="8"/>
  <c r="G35" i="8"/>
  <c r="H35" i="8"/>
  <c r="I35" i="8"/>
  <c r="J35" i="8"/>
  <c r="L35" i="8" s="1"/>
  <c r="M35" i="12" s="1"/>
  <c r="F36" i="8"/>
  <c r="G36" i="8"/>
  <c r="H36" i="8"/>
  <c r="I36" i="8"/>
  <c r="L36" i="8" s="1"/>
  <c r="M36" i="12" s="1"/>
  <c r="J36" i="8"/>
  <c r="F37" i="8"/>
  <c r="G37" i="8"/>
  <c r="H37" i="8"/>
  <c r="I37" i="8"/>
  <c r="L37" i="8" s="1"/>
  <c r="M37" i="12" s="1"/>
  <c r="J37" i="8"/>
  <c r="F38" i="8"/>
  <c r="G38" i="8"/>
  <c r="H38" i="8"/>
  <c r="I38" i="8"/>
  <c r="J38" i="8"/>
  <c r="L38" i="8"/>
  <c r="M38" i="12" s="1"/>
  <c r="F39" i="8"/>
  <c r="G39" i="8"/>
  <c r="H39" i="8"/>
  <c r="I39" i="8"/>
  <c r="J39" i="8"/>
  <c r="L39" i="8" s="1"/>
  <c r="M39" i="12" s="1"/>
  <c r="F40" i="8"/>
  <c r="G40" i="8"/>
  <c r="H40" i="8"/>
  <c r="I40" i="8"/>
  <c r="L40" i="8" s="1"/>
  <c r="M40" i="12" s="1"/>
  <c r="J40" i="8"/>
  <c r="F41" i="8"/>
  <c r="G41" i="8"/>
  <c r="H41" i="8"/>
  <c r="I41" i="8"/>
  <c r="L41" i="8" s="1"/>
  <c r="M41" i="12" s="1"/>
  <c r="J41" i="8"/>
  <c r="F42" i="8"/>
  <c r="G42" i="8"/>
  <c r="H42" i="8"/>
  <c r="I42" i="8"/>
  <c r="J42" i="8"/>
  <c r="L42" i="8"/>
  <c r="M42" i="12" s="1"/>
  <c r="F43" i="8"/>
  <c r="G43" i="8"/>
  <c r="H43" i="8"/>
  <c r="I43" i="8"/>
  <c r="J43" i="8"/>
  <c r="L43" i="8" s="1"/>
  <c r="M43" i="12" s="1"/>
  <c r="F44" i="8"/>
  <c r="G44" i="8"/>
  <c r="H44" i="8"/>
  <c r="I44" i="8"/>
  <c r="J44" i="8"/>
  <c r="L44" i="8" s="1"/>
  <c r="M44" i="12" s="1"/>
  <c r="F45" i="8"/>
  <c r="G45" i="8"/>
  <c r="H45" i="8"/>
  <c r="I45" i="8"/>
  <c r="L45" i="8" s="1"/>
  <c r="M45" i="12" s="1"/>
  <c r="J45" i="8"/>
  <c r="F46" i="8"/>
  <c r="G46" i="8"/>
  <c r="H46" i="8"/>
  <c r="I46" i="8"/>
  <c r="J46" i="8"/>
  <c r="L46" i="8"/>
  <c r="M46" i="12" s="1"/>
  <c r="F47" i="8"/>
  <c r="G47" i="8"/>
  <c r="H47" i="8"/>
  <c r="I47" i="8"/>
  <c r="J47" i="8"/>
  <c r="L47" i="8" s="1"/>
  <c r="M47" i="12" s="1"/>
  <c r="F48" i="8"/>
  <c r="G48" i="8"/>
  <c r="H48" i="8"/>
  <c r="I48" i="8"/>
  <c r="J48" i="8"/>
  <c r="L48" i="8" s="1"/>
  <c r="M48" i="12" s="1"/>
  <c r="F49" i="8"/>
  <c r="G49" i="8"/>
  <c r="H49" i="8"/>
  <c r="I49" i="8"/>
  <c r="L49" i="8" s="1"/>
  <c r="M49" i="12" s="1"/>
  <c r="J49" i="8"/>
  <c r="F50" i="8"/>
  <c r="G50" i="8"/>
  <c r="H50" i="8"/>
  <c r="I50" i="8"/>
  <c r="J50" i="8"/>
  <c r="L50" i="8"/>
  <c r="M50" i="12" s="1"/>
  <c r="F51" i="8"/>
  <c r="G51" i="8"/>
  <c r="H51" i="8"/>
  <c r="I51" i="8"/>
  <c r="J51" i="8"/>
  <c r="L51" i="8" s="1"/>
  <c r="M51" i="12" s="1"/>
  <c r="F52" i="8"/>
  <c r="G52" i="8"/>
  <c r="H52" i="8"/>
  <c r="I52" i="8"/>
  <c r="L52" i="8" s="1"/>
  <c r="M52" i="12" s="1"/>
  <c r="J52" i="8"/>
  <c r="F53" i="8"/>
  <c r="G53" i="8"/>
  <c r="H53" i="8"/>
  <c r="I53" i="8"/>
  <c r="L53" i="8" s="1"/>
  <c r="M53" i="12" s="1"/>
  <c r="J53" i="8"/>
  <c r="F54" i="8"/>
  <c r="G54" i="8"/>
  <c r="H54" i="8"/>
  <c r="I54" i="8"/>
  <c r="J54" i="8"/>
  <c r="L54" i="8"/>
  <c r="M54" i="12" s="1"/>
  <c r="F55" i="8"/>
  <c r="G55" i="8"/>
  <c r="H55" i="8"/>
  <c r="I55" i="8"/>
  <c r="J55" i="8"/>
  <c r="L55" i="8" s="1"/>
  <c r="M55" i="12" s="1"/>
  <c r="F56" i="8"/>
  <c r="G56" i="8"/>
  <c r="H56" i="8"/>
  <c r="I56" i="8"/>
  <c r="J56" i="8"/>
  <c r="L56" i="8" s="1"/>
  <c r="M56" i="12" s="1"/>
  <c r="F57" i="8"/>
  <c r="G57" i="8"/>
  <c r="H57" i="8"/>
  <c r="I57" i="8"/>
  <c r="L57" i="8" s="1"/>
  <c r="M57" i="12" s="1"/>
  <c r="J57" i="8"/>
  <c r="F58" i="8"/>
  <c r="G58" i="8"/>
  <c r="H58" i="8"/>
  <c r="I58" i="8"/>
  <c r="J58" i="8"/>
  <c r="L58" i="8"/>
  <c r="M58" i="12" s="1"/>
  <c r="F59" i="8"/>
  <c r="G59" i="8"/>
  <c r="H59" i="8"/>
  <c r="I59" i="8"/>
  <c r="J59" i="8"/>
  <c r="L59" i="8" s="1"/>
  <c r="M59" i="12" s="1"/>
  <c r="F60" i="8"/>
  <c r="G60" i="8"/>
  <c r="H60" i="8"/>
  <c r="I60" i="8"/>
  <c r="J60" i="8"/>
  <c r="L60" i="8" s="1"/>
  <c r="M60" i="12" s="1"/>
  <c r="F61" i="8"/>
  <c r="G61" i="8"/>
  <c r="H61" i="8"/>
  <c r="I61" i="8"/>
  <c r="L61" i="8" s="1"/>
  <c r="M61" i="12" s="1"/>
  <c r="J61" i="8"/>
  <c r="F62" i="8"/>
  <c r="G62" i="8"/>
  <c r="H62" i="8"/>
  <c r="I62" i="8"/>
  <c r="J62" i="8"/>
  <c r="L62" i="8"/>
  <c r="M62" i="12" s="1"/>
  <c r="F63" i="8"/>
  <c r="G63" i="8"/>
  <c r="H63" i="8"/>
  <c r="I63" i="8"/>
  <c r="J63" i="8"/>
  <c r="L63" i="8" s="1"/>
  <c r="M63" i="12" s="1"/>
  <c r="F64" i="8"/>
  <c r="G64" i="8"/>
  <c r="H64" i="8"/>
  <c r="I64" i="8"/>
  <c r="J64" i="8"/>
  <c r="L64" i="8" s="1"/>
  <c r="M64" i="12" s="1"/>
  <c r="F65" i="8"/>
  <c r="G65" i="8"/>
  <c r="H65" i="8"/>
  <c r="I65" i="8"/>
  <c r="L65" i="8" s="1"/>
  <c r="M65" i="12" s="1"/>
  <c r="J65" i="8"/>
  <c r="F66" i="8"/>
  <c r="G66" i="8"/>
  <c r="H66" i="8"/>
  <c r="I66" i="8"/>
  <c r="J66" i="8"/>
  <c r="L66" i="8"/>
  <c r="M66" i="12" s="1"/>
  <c r="F67" i="8"/>
  <c r="G67" i="8"/>
  <c r="H67" i="8"/>
  <c r="I67" i="8"/>
  <c r="J67" i="8"/>
  <c r="L67" i="8" s="1"/>
  <c r="M67" i="12" s="1"/>
  <c r="F68" i="8"/>
  <c r="G68" i="8"/>
  <c r="H68" i="8"/>
  <c r="I68" i="8"/>
  <c r="L68" i="8" s="1"/>
  <c r="M68" i="12" s="1"/>
  <c r="J68" i="8"/>
  <c r="F69" i="8"/>
  <c r="G69" i="8"/>
  <c r="H69" i="8"/>
  <c r="I69" i="8"/>
  <c r="L69" i="8" s="1"/>
  <c r="M69" i="12" s="1"/>
  <c r="J69" i="8"/>
  <c r="F70" i="8"/>
  <c r="G70" i="8"/>
  <c r="H70" i="8"/>
  <c r="I70" i="8"/>
  <c r="J70" i="8"/>
  <c r="L70" i="8"/>
  <c r="M70" i="12" s="1"/>
  <c r="F71" i="8"/>
  <c r="G71" i="8"/>
  <c r="H71" i="8"/>
  <c r="I71" i="8"/>
  <c r="J71" i="8"/>
  <c r="L71" i="8" s="1"/>
  <c r="M71" i="12" s="1"/>
  <c r="F72" i="8"/>
  <c r="G72" i="8"/>
  <c r="H72" i="8"/>
  <c r="I72" i="8"/>
  <c r="L72" i="8" s="1"/>
  <c r="M72" i="12" s="1"/>
  <c r="J72" i="8"/>
  <c r="F73" i="8"/>
  <c r="G73" i="8"/>
  <c r="H73" i="8"/>
  <c r="I73" i="8"/>
  <c r="L73" i="8" s="1"/>
  <c r="M73" i="12" s="1"/>
  <c r="J73" i="8"/>
  <c r="F74" i="8"/>
  <c r="G74" i="8"/>
  <c r="H74" i="8"/>
  <c r="I74" i="8"/>
  <c r="J74" i="8"/>
  <c r="L74" i="8"/>
  <c r="M74" i="12" s="1"/>
  <c r="F75" i="8"/>
  <c r="G75" i="8"/>
  <c r="H75" i="8"/>
  <c r="I75" i="8"/>
  <c r="J75" i="8"/>
  <c r="L75" i="8" s="1"/>
  <c r="M75" i="12" s="1"/>
  <c r="F76" i="8"/>
  <c r="G76" i="8"/>
  <c r="H76" i="8"/>
  <c r="I76" i="8"/>
  <c r="L76" i="8" s="1"/>
  <c r="M76" i="12" s="1"/>
  <c r="J76" i="8"/>
  <c r="F77" i="8"/>
  <c r="G77" i="8"/>
  <c r="H77" i="8"/>
  <c r="I77" i="8"/>
  <c r="L77" i="8" s="1"/>
  <c r="M77" i="12" s="1"/>
  <c r="J77" i="8"/>
  <c r="F78" i="8"/>
  <c r="G78" i="8"/>
  <c r="H78" i="8"/>
  <c r="I78" i="8"/>
  <c r="J78" i="8"/>
  <c r="L78" i="8"/>
  <c r="M78" i="12" s="1"/>
  <c r="F79" i="8"/>
  <c r="G79" i="8"/>
  <c r="H79" i="8"/>
  <c r="I79" i="8"/>
  <c r="J79" i="8"/>
  <c r="L79" i="8" s="1"/>
  <c r="M79" i="12" s="1"/>
  <c r="F80" i="8"/>
  <c r="G80" i="8"/>
  <c r="H80" i="8"/>
  <c r="I80" i="8"/>
  <c r="L80" i="8" s="1"/>
  <c r="M80" i="12" s="1"/>
  <c r="J80" i="8"/>
  <c r="F81" i="8"/>
  <c r="G81" i="8"/>
  <c r="H81" i="8"/>
  <c r="I81" i="8"/>
  <c r="L81" i="8" s="1"/>
  <c r="M81" i="12" s="1"/>
  <c r="J81" i="8"/>
  <c r="F82" i="8"/>
  <c r="G82" i="8"/>
  <c r="H82" i="8"/>
  <c r="I82" i="8"/>
  <c r="J82" i="8"/>
  <c r="L82" i="8"/>
  <c r="M82" i="12" s="1"/>
  <c r="F83" i="8"/>
  <c r="G83" i="8"/>
  <c r="H83" i="8"/>
  <c r="I83" i="8"/>
  <c r="J83" i="8"/>
  <c r="L83" i="8" s="1"/>
  <c r="M83" i="12" s="1"/>
  <c r="F84" i="8"/>
  <c r="G84" i="8"/>
  <c r="H84" i="8"/>
  <c r="I84" i="8"/>
  <c r="L84" i="8" s="1"/>
  <c r="M84" i="12" s="1"/>
  <c r="J84" i="8"/>
  <c r="F85" i="8"/>
  <c r="G85" i="8"/>
  <c r="H85" i="8"/>
  <c r="I85" i="8"/>
  <c r="L85" i="8" s="1"/>
  <c r="M85" i="12" s="1"/>
  <c r="J85" i="8"/>
  <c r="F86" i="8"/>
  <c r="G86" i="8"/>
  <c r="H86" i="8"/>
  <c r="I86" i="8"/>
  <c r="J86" i="8"/>
  <c r="L86" i="8"/>
  <c r="M86" i="12" s="1"/>
  <c r="F87" i="8"/>
  <c r="G87" i="8"/>
  <c r="H87" i="8"/>
  <c r="I87" i="8"/>
  <c r="J87" i="8"/>
  <c r="L87" i="8" s="1"/>
  <c r="M87" i="12" s="1"/>
  <c r="F88" i="8"/>
  <c r="G88" i="8"/>
  <c r="H88" i="8"/>
  <c r="I88" i="8"/>
  <c r="L88" i="8" s="1"/>
  <c r="M88" i="12" s="1"/>
  <c r="J88" i="8"/>
  <c r="F89" i="8"/>
  <c r="G89" i="8"/>
  <c r="H89" i="8"/>
  <c r="I89" i="8"/>
  <c r="L89" i="8" s="1"/>
  <c r="M89" i="12" s="1"/>
  <c r="J89" i="8"/>
  <c r="F90" i="8"/>
  <c r="G90" i="8"/>
  <c r="H90" i="8"/>
  <c r="I90" i="8"/>
  <c r="J90" i="8"/>
  <c r="L90" i="8"/>
  <c r="M90" i="12" s="1"/>
  <c r="F91" i="8"/>
  <c r="G91" i="8"/>
  <c r="H91" i="8"/>
  <c r="I91" i="8"/>
  <c r="J91" i="8"/>
  <c r="L91" i="8" s="1"/>
  <c r="M91" i="12" s="1"/>
  <c r="F92" i="8"/>
  <c r="G92" i="8"/>
  <c r="H92" i="8"/>
  <c r="I92" i="8"/>
  <c r="J92" i="8"/>
  <c r="L92" i="8" s="1"/>
  <c r="M92" i="12" s="1"/>
  <c r="F93" i="8"/>
  <c r="G93" i="8"/>
  <c r="H93" i="8"/>
  <c r="I93" i="8"/>
  <c r="L93" i="8" s="1"/>
  <c r="M93" i="12" s="1"/>
  <c r="J93" i="8"/>
  <c r="F94" i="8"/>
  <c r="G94" i="8"/>
  <c r="H94" i="8"/>
  <c r="I94" i="8"/>
  <c r="J94" i="8"/>
  <c r="L94" i="8"/>
  <c r="M94" i="12" s="1"/>
  <c r="F95" i="8"/>
  <c r="G95" i="8"/>
  <c r="H95" i="8"/>
  <c r="I95" i="8"/>
  <c r="J95" i="8"/>
  <c r="L95" i="8" s="1"/>
  <c r="M95" i="12" s="1"/>
  <c r="F96" i="8"/>
  <c r="G96" i="8"/>
  <c r="H96" i="8"/>
  <c r="I96" i="8"/>
  <c r="J96" i="8"/>
  <c r="L96" i="8" s="1"/>
  <c r="M96" i="12" s="1"/>
  <c r="F97" i="8"/>
  <c r="G97" i="8"/>
  <c r="H97" i="8"/>
  <c r="I97" i="8"/>
  <c r="L97" i="8" s="1"/>
  <c r="M97" i="12" s="1"/>
  <c r="J97" i="8"/>
  <c r="F98" i="8"/>
  <c r="G98" i="8"/>
  <c r="H98" i="8"/>
  <c r="I98" i="8"/>
  <c r="J98" i="8"/>
  <c r="L98" i="8"/>
  <c r="M98" i="12" s="1"/>
  <c r="F99" i="8"/>
  <c r="G99" i="8"/>
  <c r="H99" i="8"/>
  <c r="I99" i="8"/>
  <c r="J99" i="8"/>
  <c r="L99" i="8" s="1"/>
  <c r="M99" i="12" s="1"/>
  <c r="F100" i="8"/>
  <c r="G100" i="8"/>
  <c r="H100" i="8"/>
  <c r="I100" i="8"/>
  <c r="L100" i="8" s="1"/>
  <c r="M100" i="12" s="1"/>
  <c r="J100" i="8"/>
  <c r="F101" i="8"/>
  <c r="G101" i="8"/>
  <c r="H101" i="8"/>
  <c r="I101" i="8"/>
  <c r="L101" i="8" s="1"/>
  <c r="M101" i="12" s="1"/>
  <c r="J101" i="8"/>
  <c r="F102" i="8"/>
  <c r="G102" i="8"/>
  <c r="H102" i="8"/>
  <c r="I102" i="8"/>
  <c r="J102" i="8"/>
  <c r="L102" i="8"/>
  <c r="M102" i="12" s="1"/>
  <c r="F103" i="8"/>
  <c r="G103" i="8"/>
  <c r="H103" i="8"/>
  <c r="I103" i="8"/>
  <c r="J103" i="8"/>
  <c r="L103" i="8" s="1"/>
  <c r="M103" i="12" s="1"/>
  <c r="F104" i="8"/>
  <c r="G104" i="8"/>
  <c r="H104" i="8"/>
  <c r="I104" i="8"/>
  <c r="L104" i="8" s="1"/>
  <c r="M104" i="12" s="1"/>
  <c r="J104" i="8"/>
  <c r="F105" i="8"/>
  <c r="G105" i="8"/>
  <c r="H105" i="8"/>
  <c r="I105" i="8"/>
  <c r="L105" i="8" s="1"/>
  <c r="M105" i="12" s="1"/>
  <c r="J105" i="8"/>
  <c r="F106" i="8"/>
  <c r="G106" i="8"/>
  <c r="H106" i="8"/>
  <c r="I106" i="8"/>
  <c r="J106" i="8"/>
  <c r="L106" i="8"/>
  <c r="M106" i="12" s="1"/>
  <c r="F107" i="8"/>
  <c r="G107" i="8"/>
  <c r="H107" i="8"/>
  <c r="I107" i="8"/>
  <c r="J107" i="8"/>
  <c r="L107" i="8" s="1"/>
  <c r="M107" i="12" s="1"/>
  <c r="F108" i="8"/>
  <c r="G108" i="8"/>
  <c r="H108" i="8"/>
  <c r="I108" i="8"/>
  <c r="L108" i="8" s="1"/>
  <c r="M108" i="12" s="1"/>
  <c r="J108" i="8"/>
  <c r="F109" i="8"/>
  <c r="G109" i="8"/>
  <c r="H109" i="8"/>
  <c r="I109" i="8"/>
  <c r="L109" i="8" s="1"/>
  <c r="M109" i="12" s="1"/>
  <c r="J109" i="8"/>
  <c r="F110" i="8"/>
  <c r="G110" i="8"/>
  <c r="H110" i="8"/>
  <c r="I110" i="8"/>
  <c r="J110" i="8"/>
  <c r="L110" i="8"/>
  <c r="M110" i="12" s="1"/>
  <c r="F111" i="8"/>
  <c r="G111" i="8"/>
  <c r="H111" i="8"/>
  <c r="I111" i="8"/>
  <c r="J111" i="8"/>
  <c r="L111" i="8" s="1"/>
  <c r="M111" i="12" s="1"/>
  <c r="F112" i="8"/>
  <c r="G112" i="8"/>
  <c r="H112" i="8"/>
  <c r="I112" i="8"/>
  <c r="L112" i="8" s="1"/>
  <c r="M112" i="12" s="1"/>
  <c r="J112" i="8"/>
  <c r="F113" i="8"/>
  <c r="G113" i="8"/>
  <c r="H113" i="8"/>
  <c r="I113" i="8"/>
  <c r="L113" i="8" s="1"/>
  <c r="M113" i="12" s="1"/>
  <c r="J113" i="8"/>
  <c r="F114" i="8"/>
  <c r="G114" i="8"/>
  <c r="H114" i="8"/>
  <c r="I114" i="8"/>
  <c r="J114" i="8"/>
  <c r="L114" i="8"/>
  <c r="M114" i="12" s="1"/>
  <c r="F115" i="8"/>
  <c r="G115" i="8"/>
  <c r="H115" i="8"/>
  <c r="I115" i="8"/>
  <c r="J115" i="8"/>
  <c r="L115" i="8" s="1"/>
  <c r="M115" i="12" s="1"/>
  <c r="F116" i="8"/>
  <c r="G116" i="8"/>
  <c r="H116" i="8"/>
  <c r="I116" i="8"/>
  <c r="L116" i="8" s="1"/>
  <c r="M116" i="12" s="1"/>
  <c r="J116" i="8"/>
  <c r="F117" i="8"/>
  <c r="G117" i="8"/>
  <c r="H117" i="8"/>
  <c r="I117" i="8"/>
  <c r="L117" i="8" s="1"/>
  <c r="M117" i="12" s="1"/>
  <c r="J117" i="8"/>
  <c r="F118" i="8"/>
  <c r="G118" i="8"/>
  <c r="H118" i="8"/>
  <c r="I118" i="8"/>
  <c r="J118" i="8"/>
  <c r="L118" i="8"/>
  <c r="M118" i="12" s="1"/>
  <c r="F119" i="8"/>
  <c r="G119" i="8"/>
  <c r="H119" i="8"/>
  <c r="I119" i="8"/>
  <c r="J119" i="8"/>
  <c r="L119" i="8" s="1"/>
  <c r="M119" i="12" s="1"/>
  <c r="F120" i="8"/>
  <c r="G120" i="8"/>
  <c r="H120" i="8"/>
  <c r="I120" i="8"/>
  <c r="J120" i="8"/>
  <c r="L120" i="8"/>
  <c r="M120" i="12" s="1"/>
  <c r="F121" i="8"/>
  <c r="G121" i="8"/>
  <c r="H121" i="8"/>
  <c r="I121" i="8"/>
  <c r="L121" i="8" s="1"/>
  <c r="M121" i="12" s="1"/>
  <c r="J121" i="8"/>
  <c r="F122" i="8"/>
  <c r="G122" i="8"/>
  <c r="H122" i="8"/>
  <c r="I122" i="8"/>
  <c r="J122" i="8"/>
  <c r="L122" i="8"/>
  <c r="M122" i="12" s="1"/>
  <c r="F123" i="8"/>
  <c r="G123" i="8"/>
  <c r="H123" i="8"/>
  <c r="I123" i="8"/>
  <c r="J123" i="8"/>
  <c r="L123" i="8" s="1"/>
  <c r="M123" i="12" s="1"/>
  <c r="F124" i="8"/>
  <c r="G124" i="8"/>
  <c r="H124" i="8"/>
  <c r="I124" i="8"/>
  <c r="J124" i="8"/>
  <c r="L124" i="8"/>
  <c r="M124" i="12" s="1"/>
  <c r="F125" i="8"/>
  <c r="G125" i="8"/>
  <c r="H125" i="8"/>
  <c r="I125" i="8"/>
  <c r="J125" i="8"/>
  <c r="L125" i="8" s="1"/>
  <c r="M125" i="12" s="1"/>
  <c r="F126" i="8"/>
  <c r="G126" i="8"/>
  <c r="H126" i="8"/>
  <c r="I126" i="8"/>
  <c r="J126" i="8"/>
  <c r="L126" i="8"/>
  <c r="M126" i="12" s="1"/>
  <c r="F127" i="8"/>
  <c r="G127" i="8"/>
  <c r="H127" i="8"/>
  <c r="I127" i="8"/>
  <c r="J127" i="8"/>
  <c r="L127" i="8" s="1"/>
  <c r="M127" i="12" s="1"/>
  <c r="F128" i="8"/>
  <c r="G128" i="8"/>
  <c r="H128" i="8"/>
  <c r="I128" i="8"/>
  <c r="J128" i="8"/>
  <c r="L128" i="8"/>
  <c r="M128" i="12" s="1"/>
  <c r="F129" i="8"/>
  <c r="G129" i="8"/>
  <c r="H129" i="8"/>
  <c r="I129" i="8"/>
  <c r="J129" i="8"/>
  <c r="L129" i="8" s="1"/>
  <c r="M129" i="12" s="1"/>
  <c r="F130" i="8"/>
  <c r="G130" i="8"/>
  <c r="H130" i="8"/>
  <c r="I130" i="8"/>
  <c r="J130" i="8"/>
  <c r="L130" i="8"/>
  <c r="M130" i="12" s="1"/>
  <c r="F131" i="8"/>
  <c r="G131" i="8"/>
  <c r="H131" i="8"/>
  <c r="I131" i="8"/>
  <c r="J131" i="8"/>
  <c r="L131" i="8" s="1"/>
  <c r="M131" i="12" s="1"/>
  <c r="F132" i="8"/>
  <c r="G132" i="8"/>
  <c r="H132" i="8"/>
  <c r="I132" i="8"/>
  <c r="J132" i="8"/>
  <c r="L132" i="8"/>
  <c r="M132" i="12" s="1"/>
  <c r="F133" i="8"/>
  <c r="G133" i="8"/>
  <c r="H133" i="8"/>
  <c r="I133" i="8"/>
  <c r="J133" i="8"/>
  <c r="L133" i="8" s="1"/>
  <c r="M133" i="12" s="1"/>
  <c r="J2" i="8"/>
  <c r="I2" i="8"/>
  <c r="H2" i="8"/>
  <c r="G2" i="8"/>
  <c r="F2" i="8"/>
  <c r="R1" i="7"/>
  <c r="Q1" i="7"/>
  <c r="P1" i="7"/>
  <c r="O1" i="7"/>
  <c r="O17" i="7" s="1"/>
  <c r="N1" i="7"/>
  <c r="M1" i="7"/>
  <c r="L1" i="7"/>
  <c r="K1" i="7"/>
  <c r="J1" i="7"/>
  <c r="I1" i="7"/>
  <c r="I17" i="7" s="1"/>
  <c r="H1" i="7"/>
  <c r="G1" i="7"/>
  <c r="F3" i="7"/>
  <c r="F4" i="7"/>
  <c r="F5" i="7"/>
  <c r="F6" i="7"/>
  <c r="F7" i="7"/>
  <c r="F8" i="7"/>
  <c r="F9" i="7"/>
  <c r="F25" i="7" s="1"/>
  <c r="F10" i="7"/>
  <c r="F26" i="7" s="1"/>
  <c r="F11" i="7"/>
  <c r="F12" i="7"/>
  <c r="F13" i="7"/>
  <c r="F2" i="7"/>
  <c r="R1" i="6"/>
  <c r="Q1" i="6"/>
  <c r="P1" i="6"/>
  <c r="O1" i="6"/>
  <c r="N1" i="6"/>
  <c r="M1" i="6"/>
  <c r="L1" i="6"/>
  <c r="K1" i="6"/>
  <c r="J1" i="6"/>
  <c r="I1" i="6"/>
  <c r="H1" i="6"/>
  <c r="G1" i="6"/>
  <c r="F3" i="6"/>
  <c r="F4" i="6"/>
  <c r="F5" i="6"/>
  <c r="F6" i="6"/>
  <c r="F7" i="6"/>
  <c r="F8" i="6"/>
  <c r="F9" i="6"/>
  <c r="F10" i="6"/>
  <c r="F40" i="6" s="1"/>
  <c r="F11" i="6"/>
  <c r="F12" i="6"/>
  <c r="F13" i="6"/>
  <c r="F2" i="6"/>
  <c r="AG33" i="5"/>
  <c r="AF33" i="5"/>
  <c r="AE33" i="5"/>
  <c r="AD33" i="5"/>
  <c r="AC33" i="5"/>
  <c r="AB33" i="5"/>
  <c r="AA33" i="5"/>
  <c r="Z33" i="5"/>
  <c r="Y33" i="5"/>
  <c r="X33" i="5"/>
  <c r="W33" i="5"/>
  <c r="V33" i="5"/>
  <c r="V97" i="5" s="1"/>
  <c r="U35" i="5"/>
  <c r="U36" i="5"/>
  <c r="U37" i="5"/>
  <c r="U38" i="5"/>
  <c r="U39" i="5"/>
  <c r="U87" i="5" s="1"/>
  <c r="U40" i="5"/>
  <c r="U41" i="5"/>
  <c r="U42" i="5"/>
  <c r="U138" i="5" s="1"/>
  <c r="U43" i="5"/>
  <c r="U44" i="5"/>
  <c r="U45" i="5"/>
  <c r="U34" i="5"/>
  <c r="R33" i="5"/>
  <c r="Q33" i="5"/>
  <c r="P33" i="5"/>
  <c r="O33" i="5"/>
  <c r="N33" i="5"/>
  <c r="M33" i="5"/>
  <c r="M17" i="5" s="1"/>
  <c r="L33" i="5"/>
  <c r="K33" i="5"/>
  <c r="J33" i="5"/>
  <c r="I33" i="5"/>
  <c r="H33" i="5"/>
  <c r="G33" i="5"/>
  <c r="F35" i="5"/>
  <c r="F36" i="5"/>
  <c r="F37" i="5"/>
  <c r="F38" i="5"/>
  <c r="F39" i="5"/>
  <c r="F119" i="5" s="1"/>
  <c r="F40" i="5"/>
  <c r="F41" i="5"/>
  <c r="F105" i="5" s="1"/>
  <c r="F42" i="5"/>
  <c r="F26" i="5" s="1"/>
  <c r="F43" i="5"/>
  <c r="F44" i="5"/>
  <c r="F45" i="5"/>
  <c r="F34" i="5"/>
  <c r="F130" i="5" s="1"/>
  <c r="AJ1" i="4"/>
  <c r="AI1" i="4"/>
  <c r="AH1" i="4"/>
  <c r="AG1" i="4"/>
  <c r="AF1" i="4"/>
  <c r="AE1" i="4"/>
  <c r="AD1" i="4"/>
  <c r="AC1" i="4"/>
  <c r="AB1" i="4"/>
  <c r="AA1" i="4"/>
  <c r="Z1" i="4"/>
  <c r="Y1" i="4"/>
  <c r="X3" i="4"/>
  <c r="X4" i="4"/>
  <c r="X5" i="4"/>
  <c r="X6" i="4"/>
  <c r="X7" i="4"/>
  <c r="X25" i="4" s="1"/>
  <c r="X8" i="4"/>
  <c r="X9" i="4"/>
  <c r="X10" i="4"/>
  <c r="X28" i="4" s="1"/>
  <c r="X11" i="4"/>
  <c r="X12" i="4"/>
  <c r="X13" i="4"/>
  <c r="X2" i="4"/>
  <c r="X20" i="4" s="1"/>
  <c r="R1" i="4"/>
  <c r="Q1" i="4"/>
  <c r="Q19" i="4" s="1"/>
  <c r="P1" i="4"/>
  <c r="O1" i="4"/>
  <c r="O19" i="4" s="1"/>
  <c r="N1" i="4"/>
  <c r="M1" i="4"/>
  <c r="L1" i="4"/>
  <c r="K1" i="4"/>
  <c r="J1" i="4"/>
  <c r="I1" i="4"/>
  <c r="I19" i="4" s="1"/>
  <c r="H1" i="4"/>
  <c r="H19" i="4" s="1"/>
  <c r="G1" i="4"/>
  <c r="N19" i="4"/>
  <c r="F3" i="4"/>
  <c r="F21" i="4" s="1"/>
  <c r="F4" i="4"/>
  <c r="F5" i="4"/>
  <c r="F6" i="4"/>
  <c r="F7" i="4"/>
  <c r="F25" i="4" s="1"/>
  <c r="F8" i="4"/>
  <c r="F9" i="4"/>
  <c r="F27" i="4" s="1"/>
  <c r="F10" i="4"/>
  <c r="F28" i="4" s="1"/>
  <c r="F11" i="4"/>
  <c r="F29" i="4" s="1"/>
  <c r="F12" i="4"/>
  <c r="F13" i="4"/>
  <c r="F2" i="4"/>
  <c r="F3" i="3"/>
  <c r="F4" i="3"/>
  <c r="F5" i="3"/>
  <c r="F6" i="3"/>
  <c r="F7" i="3"/>
  <c r="F8" i="3"/>
  <c r="F9" i="3"/>
  <c r="F10" i="3"/>
  <c r="F11" i="3"/>
  <c r="F12" i="3"/>
  <c r="F13" i="3"/>
  <c r="F2" i="3"/>
  <c r="P3" i="2"/>
  <c r="Q3" i="2"/>
  <c r="P4" i="2"/>
  <c r="Q4" i="2"/>
  <c r="P5" i="2"/>
  <c r="Q5" i="2"/>
  <c r="P6" i="2"/>
  <c r="Q6" i="2"/>
  <c r="P7" i="2"/>
  <c r="Q7" i="2"/>
  <c r="P8" i="2"/>
  <c r="Q8" i="2"/>
  <c r="P9" i="2"/>
  <c r="Q9" i="2"/>
  <c r="P10" i="2"/>
  <c r="Q10" i="2"/>
  <c r="P11" i="2"/>
  <c r="Q11" i="2"/>
  <c r="P12" i="2"/>
  <c r="Q12" i="2"/>
  <c r="P13" i="2"/>
  <c r="Q13" i="2"/>
  <c r="P14" i="2"/>
  <c r="Q14" i="2"/>
  <c r="P15" i="2"/>
  <c r="Q15" i="2"/>
  <c r="P16" i="2"/>
  <c r="Q16" i="2"/>
  <c r="P17" i="2"/>
  <c r="Q17" i="2"/>
  <c r="P18" i="2"/>
  <c r="Q18" i="2"/>
  <c r="P19" i="2"/>
  <c r="Q19" i="2"/>
  <c r="P20" i="2"/>
  <c r="Q20" i="2"/>
  <c r="P21" i="2"/>
  <c r="R21" i="2" s="1"/>
  <c r="Q21" i="2"/>
  <c r="P22" i="2"/>
  <c r="Q22" i="2"/>
  <c r="P23" i="2"/>
  <c r="Q23" i="2"/>
  <c r="P24" i="2"/>
  <c r="Q24" i="2"/>
  <c r="P25" i="2"/>
  <c r="Q25" i="2"/>
  <c r="P26" i="2"/>
  <c r="Q26" i="2"/>
  <c r="P27" i="2"/>
  <c r="Q27" i="2"/>
  <c r="P28" i="2"/>
  <c r="Q28" i="2"/>
  <c r="P29" i="2"/>
  <c r="R29" i="2" s="1"/>
  <c r="Q29" i="2"/>
  <c r="P30" i="2"/>
  <c r="Q30" i="2"/>
  <c r="P31" i="2"/>
  <c r="Q31" i="2"/>
  <c r="P32" i="2"/>
  <c r="Q32" i="2"/>
  <c r="P33" i="2"/>
  <c r="Q33" i="2"/>
  <c r="P34" i="2"/>
  <c r="Q34" i="2"/>
  <c r="P35" i="2"/>
  <c r="Q35" i="2"/>
  <c r="P36" i="2"/>
  <c r="Q36" i="2"/>
  <c r="P37" i="2"/>
  <c r="R37" i="2" s="1"/>
  <c r="Q37" i="2"/>
  <c r="P38" i="2"/>
  <c r="Q38" i="2"/>
  <c r="P39" i="2"/>
  <c r="Q39" i="2"/>
  <c r="P40" i="2"/>
  <c r="Q40" i="2"/>
  <c r="P41" i="2"/>
  <c r="Q41" i="2"/>
  <c r="P42" i="2"/>
  <c r="Q42" i="2"/>
  <c r="P43" i="2"/>
  <c r="Q43" i="2"/>
  <c r="P44" i="2"/>
  <c r="Q44" i="2"/>
  <c r="P45" i="2"/>
  <c r="R45" i="2" s="1"/>
  <c r="Q45" i="2"/>
  <c r="P46" i="2"/>
  <c r="Q46" i="2"/>
  <c r="P47" i="2"/>
  <c r="Q47" i="2"/>
  <c r="P48" i="2"/>
  <c r="Q48" i="2"/>
  <c r="P49" i="2"/>
  <c r="R49" i="2" s="1"/>
  <c r="Q49" i="2"/>
  <c r="P50" i="2"/>
  <c r="Q50" i="2"/>
  <c r="P51" i="2"/>
  <c r="Q51" i="2"/>
  <c r="P52" i="2"/>
  <c r="Q52" i="2"/>
  <c r="P53" i="2"/>
  <c r="R53" i="2" s="1"/>
  <c r="Q53" i="2"/>
  <c r="P54" i="2"/>
  <c r="Q54" i="2"/>
  <c r="P55" i="2"/>
  <c r="Q55" i="2"/>
  <c r="P56" i="2"/>
  <c r="Q56" i="2"/>
  <c r="P57" i="2"/>
  <c r="R57" i="2" s="1"/>
  <c r="Q57" i="2"/>
  <c r="P58" i="2"/>
  <c r="Q58" i="2"/>
  <c r="P59" i="2"/>
  <c r="Q59" i="2"/>
  <c r="P60" i="2"/>
  <c r="Q60" i="2"/>
  <c r="P61" i="2"/>
  <c r="R61" i="2" s="1"/>
  <c r="Q61" i="2"/>
  <c r="P62" i="2"/>
  <c r="Q62" i="2"/>
  <c r="P63" i="2"/>
  <c r="Q63" i="2"/>
  <c r="P64" i="2"/>
  <c r="Q64" i="2"/>
  <c r="P65" i="2"/>
  <c r="R65" i="2" s="1"/>
  <c r="Q65" i="2"/>
  <c r="P66" i="2"/>
  <c r="Q66" i="2"/>
  <c r="P67" i="2"/>
  <c r="Q67" i="2"/>
  <c r="P68" i="2"/>
  <c r="Q68" i="2"/>
  <c r="P69" i="2"/>
  <c r="R69" i="2" s="1"/>
  <c r="Q69" i="2"/>
  <c r="P70" i="2"/>
  <c r="Q70" i="2"/>
  <c r="P71" i="2"/>
  <c r="Q71" i="2"/>
  <c r="P72" i="2"/>
  <c r="Q72" i="2"/>
  <c r="P73" i="2"/>
  <c r="R73" i="2" s="1"/>
  <c r="Q73" i="2"/>
  <c r="P74" i="2"/>
  <c r="Q74" i="2"/>
  <c r="P75" i="2"/>
  <c r="Q75" i="2"/>
  <c r="P76" i="2"/>
  <c r="Q76" i="2"/>
  <c r="P77" i="2"/>
  <c r="R77" i="2" s="1"/>
  <c r="Q77" i="2"/>
  <c r="P78" i="2"/>
  <c r="Q78" i="2"/>
  <c r="P79" i="2"/>
  <c r="Q79" i="2"/>
  <c r="P80" i="2"/>
  <c r="Q80" i="2"/>
  <c r="P81" i="2"/>
  <c r="R81" i="2" s="1"/>
  <c r="Q81" i="2"/>
  <c r="P82" i="2"/>
  <c r="Q82" i="2"/>
  <c r="P83" i="2"/>
  <c r="Q83" i="2"/>
  <c r="P84" i="2"/>
  <c r="Q84" i="2"/>
  <c r="P85" i="2"/>
  <c r="R85" i="2" s="1"/>
  <c r="Q85" i="2"/>
  <c r="P86" i="2"/>
  <c r="Q86" i="2"/>
  <c r="P87" i="2"/>
  <c r="Q87" i="2"/>
  <c r="P88" i="2"/>
  <c r="Q88" i="2"/>
  <c r="P89" i="2"/>
  <c r="R89" i="2" s="1"/>
  <c r="Q89" i="2"/>
  <c r="P90" i="2"/>
  <c r="Q90" i="2"/>
  <c r="P91" i="2"/>
  <c r="Q91" i="2"/>
  <c r="P92" i="2"/>
  <c r="Q92" i="2"/>
  <c r="P93" i="2"/>
  <c r="R93" i="2" s="1"/>
  <c r="Q93" i="2"/>
  <c r="P94" i="2"/>
  <c r="Q94" i="2"/>
  <c r="P95" i="2"/>
  <c r="Q95" i="2"/>
  <c r="P96" i="2"/>
  <c r="Q96" i="2"/>
  <c r="P97" i="2"/>
  <c r="R97" i="2" s="1"/>
  <c r="Q97" i="2"/>
  <c r="P98" i="2"/>
  <c r="Q98" i="2"/>
  <c r="P99" i="2"/>
  <c r="Q99" i="2"/>
  <c r="P100" i="2"/>
  <c r="Q100" i="2"/>
  <c r="P101" i="2"/>
  <c r="R101" i="2" s="1"/>
  <c r="Q101" i="2"/>
  <c r="P102" i="2"/>
  <c r="Q102" i="2"/>
  <c r="P103" i="2"/>
  <c r="Q103" i="2"/>
  <c r="P104" i="2"/>
  <c r="Q104" i="2"/>
  <c r="P105" i="2"/>
  <c r="R105" i="2" s="1"/>
  <c r="Q105" i="2"/>
  <c r="P106" i="2"/>
  <c r="Q106" i="2"/>
  <c r="P107" i="2"/>
  <c r="Q107" i="2"/>
  <c r="P108" i="2"/>
  <c r="Q108" i="2"/>
  <c r="P109" i="2"/>
  <c r="R109" i="2" s="1"/>
  <c r="Q109" i="2"/>
  <c r="P110" i="2"/>
  <c r="Q110" i="2"/>
  <c r="P111" i="2"/>
  <c r="Q111" i="2"/>
  <c r="P112" i="2"/>
  <c r="Q112" i="2"/>
  <c r="P113" i="2"/>
  <c r="R113" i="2" s="1"/>
  <c r="Q113" i="2"/>
  <c r="P114" i="2"/>
  <c r="Q114" i="2"/>
  <c r="P115" i="2"/>
  <c r="Q115" i="2"/>
  <c r="P116" i="2"/>
  <c r="Q116" i="2"/>
  <c r="P117" i="2"/>
  <c r="R117" i="2" s="1"/>
  <c r="Q117" i="2"/>
  <c r="P118" i="2"/>
  <c r="Q118" i="2"/>
  <c r="P119" i="2"/>
  <c r="Q119" i="2"/>
  <c r="P120" i="2"/>
  <c r="Q120" i="2"/>
  <c r="P121" i="2"/>
  <c r="R121" i="2" s="1"/>
  <c r="Q121" i="2"/>
  <c r="P122" i="2"/>
  <c r="Q122" i="2"/>
  <c r="P123" i="2"/>
  <c r="Q123" i="2"/>
  <c r="P124" i="2"/>
  <c r="Q124" i="2"/>
  <c r="P125" i="2"/>
  <c r="R125" i="2" s="1"/>
  <c r="Q125" i="2"/>
  <c r="P126" i="2"/>
  <c r="Q126" i="2"/>
  <c r="P127" i="2"/>
  <c r="Q127" i="2"/>
  <c r="P128" i="2"/>
  <c r="Q128" i="2"/>
  <c r="P129" i="2"/>
  <c r="R129" i="2" s="1"/>
  <c r="Q129" i="2"/>
  <c r="P130" i="2"/>
  <c r="Q130" i="2"/>
  <c r="P131" i="2"/>
  <c r="Q131" i="2"/>
  <c r="P132" i="2"/>
  <c r="Q132" i="2"/>
  <c r="P133" i="2"/>
  <c r="R133" i="2" s="1"/>
  <c r="Q133" i="2"/>
  <c r="Q2" i="2"/>
  <c r="P2" i="2"/>
  <c r="L2" i="8"/>
  <c r="M2" i="12" s="1"/>
  <c r="F22" i="7"/>
  <c r="F18" i="7"/>
  <c r="P17" i="7"/>
  <c r="K17" i="7"/>
  <c r="H17" i="7"/>
  <c r="F29" i="7"/>
  <c r="F28" i="7"/>
  <c r="F27" i="7"/>
  <c r="F24" i="7"/>
  <c r="F23" i="7"/>
  <c r="F21" i="7"/>
  <c r="F20" i="7"/>
  <c r="F19" i="7"/>
  <c r="R17" i="7"/>
  <c r="Q17" i="7"/>
  <c r="N17" i="7"/>
  <c r="M17" i="7"/>
  <c r="L17" i="7"/>
  <c r="J17" i="7"/>
  <c r="G17" i="7"/>
  <c r="F38" i="6"/>
  <c r="Q31" i="6"/>
  <c r="F23" i="6"/>
  <c r="P16" i="6"/>
  <c r="I16" i="6"/>
  <c r="H16" i="6"/>
  <c r="F43" i="6"/>
  <c r="F42" i="6"/>
  <c r="F41" i="6"/>
  <c r="F39" i="6"/>
  <c r="F22" i="6"/>
  <c r="F36" i="6"/>
  <c r="F35" i="6"/>
  <c r="F34" i="6"/>
  <c r="F33" i="6"/>
  <c r="F32" i="6"/>
  <c r="R31" i="6"/>
  <c r="Q16" i="6"/>
  <c r="P31" i="6"/>
  <c r="O31" i="6"/>
  <c r="N31" i="6"/>
  <c r="M31" i="6"/>
  <c r="L31" i="6"/>
  <c r="K31" i="6"/>
  <c r="J31" i="6"/>
  <c r="I31" i="6"/>
  <c r="H31" i="6"/>
  <c r="G31" i="6"/>
  <c r="AG142" i="5"/>
  <c r="AF142" i="5"/>
  <c r="AE142" i="5"/>
  <c r="AD142" i="5"/>
  <c r="AC142" i="5"/>
  <c r="AB142" i="5"/>
  <c r="AA142" i="5"/>
  <c r="Z142" i="5"/>
  <c r="Y142" i="5"/>
  <c r="X142" i="5"/>
  <c r="W142" i="5"/>
  <c r="V142" i="5"/>
  <c r="R142" i="5"/>
  <c r="Q142" i="5"/>
  <c r="P142" i="5"/>
  <c r="O142" i="5"/>
  <c r="N142" i="5"/>
  <c r="M142" i="5"/>
  <c r="L142" i="5"/>
  <c r="K142" i="5"/>
  <c r="J142" i="5"/>
  <c r="I142" i="5"/>
  <c r="H142" i="5"/>
  <c r="G142" i="5"/>
  <c r="AH141" i="5"/>
  <c r="S141" i="5"/>
  <c r="AH140" i="5"/>
  <c r="U140" i="5"/>
  <c r="S140" i="5"/>
  <c r="AH139" i="5"/>
  <c r="S139" i="5"/>
  <c r="AH138" i="5"/>
  <c r="S138" i="5"/>
  <c r="AH137" i="5"/>
  <c r="S137" i="5"/>
  <c r="AH136" i="5"/>
  <c r="S136" i="5"/>
  <c r="AH135" i="5"/>
  <c r="S135" i="5"/>
  <c r="AH134" i="5"/>
  <c r="S134" i="5"/>
  <c r="AH133" i="5"/>
  <c r="S133" i="5"/>
  <c r="AH132" i="5"/>
  <c r="U132" i="5"/>
  <c r="S132" i="5"/>
  <c r="AH131" i="5"/>
  <c r="S131" i="5"/>
  <c r="AH130" i="5"/>
  <c r="S130" i="5"/>
  <c r="AC129" i="5"/>
  <c r="AB129" i="5"/>
  <c r="R129" i="5"/>
  <c r="Q129" i="5"/>
  <c r="I129" i="5"/>
  <c r="AG126" i="5"/>
  <c r="AF126" i="5"/>
  <c r="AE126" i="5"/>
  <c r="AD126" i="5"/>
  <c r="AC126" i="5"/>
  <c r="AB126" i="5"/>
  <c r="AA126" i="5"/>
  <c r="Z126" i="5"/>
  <c r="Y126" i="5"/>
  <c r="X126" i="5"/>
  <c r="W126" i="5"/>
  <c r="V126" i="5"/>
  <c r="R126" i="5"/>
  <c r="Q126" i="5"/>
  <c r="P126" i="5"/>
  <c r="O126" i="5"/>
  <c r="N126" i="5"/>
  <c r="M126" i="5"/>
  <c r="L126" i="5"/>
  <c r="K126" i="5"/>
  <c r="J126" i="5"/>
  <c r="I126" i="5"/>
  <c r="H126" i="5"/>
  <c r="G126" i="5"/>
  <c r="AH125" i="5"/>
  <c r="S125" i="5"/>
  <c r="F125" i="5"/>
  <c r="AH124" i="5"/>
  <c r="S124" i="5"/>
  <c r="AH123" i="5"/>
  <c r="S123" i="5"/>
  <c r="F123" i="5"/>
  <c r="AH122" i="5"/>
  <c r="S122" i="5"/>
  <c r="AH121" i="5"/>
  <c r="S121" i="5"/>
  <c r="F121" i="5"/>
  <c r="AH120" i="5"/>
  <c r="S120" i="5"/>
  <c r="AH119" i="5"/>
  <c r="S119" i="5"/>
  <c r="AH118" i="5"/>
  <c r="S118" i="5"/>
  <c r="AH117" i="5"/>
  <c r="S117" i="5"/>
  <c r="F117" i="5"/>
  <c r="AH116" i="5"/>
  <c r="S116" i="5"/>
  <c r="AH115" i="5"/>
  <c r="S115" i="5"/>
  <c r="F115" i="5"/>
  <c r="AH114" i="5"/>
  <c r="S114" i="5"/>
  <c r="AE113" i="5"/>
  <c r="AD113" i="5"/>
  <c r="W113" i="5"/>
  <c r="V113" i="5"/>
  <c r="L113" i="5"/>
  <c r="K113" i="5"/>
  <c r="AG110" i="5"/>
  <c r="AF110" i="5"/>
  <c r="AE110" i="5"/>
  <c r="AD110" i="5"/>
  <c r="AC110" i="5"/>
  <c r="AB110" i="5"/>
  <c r="AA110" i="5"/>
  <c r="Z110" i="5"/>
  <c r="Y110" i="5"/>
  <c r="X110" i="5"/>
  <c r="W110" i="5"/>
  <c r="V110" i="5"/>
  <c r="R110" i="5"/>
  <c r="Q110" i="5"/>
  <c r="P110" i="5"/>
  <c r="O110" i="5"/>
  <c r="N110" i="5"/>
  <c r="M110" i="5"/>
  <c r="L110" i="5"/>
  <c r="K110" i="5"/>
  <c r="J110" i="5"/>
  <c r="I110" i="5"/>
  <c r="H110" i="5"/>
  <c r="G110" i="5"/>
  <c r="AH109" i="5"/>
  <c r="U109" i="5"/>
  <c r="S109" i="5"/>
  <c r="AH108" i="5"/>
  <c r="S108" i="5"/>
  <c r="AH107" i="5"/>
  <c r="U107" i="5"/>
  <c r="S107" i="5"/>
  <c r="AH106" i="5"/>
  <c r="S106" i="5"/>
  <c r="AH105" i="5"/>
  <c r="U105" i="5"/>
  <c r="S105" i="5"/>
  <c r="AH104" i="5"/>
  <c r="S104" i="5"/>
  <c r="AH103" i="5"/>
  <c r="S103" i="5"/>
  <c r="AH102" i="5"/>
  <c r="S102" i="5"/>
  <c r="AH101" i="5"/>
  <c r="U101" i="5"/>
  <c r="S101" i="5"/>
  <c r="AH100" i="5"/>
  <c r="S100" i="5"/>
  <c r="AH99" i="5"/>
  <c r="U99" i="5"/>
  <c r="S99" i="5"/>
  <c r="AH98" i="5"/>
  <c r="S98" i="5"/>
  <c r="AG97" i="5"/>
  <c r="AF97" i="5"/>
  <c r="AG94" i="5"/>
  <c r="AF94" i="5"/>
  <c r="AE94" i="5"/>
  <c r="AD94" i="5"/>
  <c r="AC94" i="5"/>
  <c r="AB94" i="5"/>
  <c r="AA94" i="5"/>
  <c r="Z94" i="5"/>
  <c r="Y94" i="5"/>
  <c r="X94" i="5"/>
  <c r="W94" i="5"/>
  <c r="V94" i="5"/>
  <c r="R94" i="5"/>
  <c r="Q94" i="5"/>
  <c r="P94" i="5"/>
  <c r="O94" i="5"/>
  <c r="N94" i="5"/>
  <c r="M94" i="5"/>
  <c r="L94" i="5"/>
  <c r="K94" i="5"/>
  <c r="J94" i="5"/>
  <c r="I94" i="5"/>
  <c r="H94" i="5"/>
  <c r="G94" i="5"/>
  <c r="AH93" i="5"/>
  <c r="S93" i="5"/>
  <c r="AH92" i="5"/>
  <c r="S92" i="5"/>
  <c r="F92" i="5"/>
  <c r="AH91" i="5"/>
  <c r="S91" i="5"/>
  <c r="AH90" i="5"/>
  <c r="S90" i="5"/>
  <c r="AH89" i="5"/>
  <c r="S89" i="5"/>
  <c r="AH88" i="5"/>
  <c r="S88" i="5"/>
  <c r="F88" i="5"/>
  <c r="AH87" i="5"/>
  <c r="S87" i="5"/>
  <c r="AH86" i="5"/>
  <c r="S86" i="5"/>
  <c r="F86" i="5"/>
  <c r="AH85" i="5"/>
  <c r="S85" i="5"/>
  <c r="AH84" i="5"/>
  <c r="S84" i="5"/>
  <c r="F84" i="5"/>
  <c r="AH83" i="5"/>
  <c r="S83" i="5"/>
  <c r="AH82" i="5"/>
  <c r="S82" i="5"/>
  <c r="Z81" i="5"/>
  <c r="O81" i="5"/>
  <c r="G81" i="5"/>
  <c r="AG77" i="5"/>
  <c r="AF77" i="5"/>
  <c r="AE77" i="5"/>
  <c r="AD77" i="5"/>
  <c r="AC77" i="5"/>
  <c r="AB77" i="5"/>
  <c r="AA77" i="5"/>
  <c r="Z77" i="5"/>
  <c r="Y77" i="5"/>
  <c r="X77" i="5"/>
  <c r="W77" i="5"/>
  <c r="V77" i="5"/>
  <c r="U77" i="5"/>
  <c r="R77" i="5"/>
  <c r="Q77" i="5"/>
  <c r="P77" i="5"/>
  <c r="O77" i="5"/>
  <c r="N77" i="5"/>
  <c r="M77" i="5"/>
  <c r="L77" i="5"/>
  <c r="K77" i="5"/>
  <c r="J77" i="5"/>
  <c r="I77" i="5"/>
  <c r="H77" i="5"/>
  <c r="G77" i="5"/>
  <c r="AG76" i="5"/>
  <c r="AF76" i="5"/>
  <c r="AE76" i="5"/>
  <c r="AD76" i="5"/>
  <c r="AC76" i="5"/>
  <c r="AB76" i="5"/>
  <c r="AA76" i="5"/>
  <c r="Z76" i="5"/>
  <c r="Y76" i="5"/>
  <c r="X76" i="5"/>
  <c r="W76" i="5"/>
  <c r="V76" i="5"/>
  <c r="R76" i="5"/>
  <c r="Q76" i="5"/>
  <c r="P76" i="5"/>
  <c r="O76" i="5"/>
  <c r="N76" i="5"/>
  <c r="M76" i="5"/>
  <c r="L76" i="5"/>
  <c r="K76" i="5"/>
  <c r="J76" i="5"/>
  <c r="I76" i="5"/>
  <c r="H76" i="5"/>
  <c r="G76" i="5"/>
  <c r="AG75" i="5"/>
  <c r="AF75" i="5"/>
  <c r="AE75" i="5"/>
  <c r="AD75" i="5"/>
  <c r="AC75" i="5"/>
  <c r="AB75" i="5"/>
  <c r="AA75" i="5"/>
  <c r="Z75" i="5"/>
  <c r="Y75" i="5"/>
  <c r="X75" i="5"/>
  <c r="W75" i="5"/>
  <c r="V75" i="5"/>
  <c r="U75" i="5"/>
  <c r="R75" i="5"/>
  <c r="Q75" i="5"/>
  <c r="P75" i="5"/>
  <c r="O75" i="5"/>
  <c r="N75" i="5"/>
  <c r="M75" i="5"/>
  <c r="L75" i="5"/>
  <c r="K75" i="5"/>
  <c r="J75" i="5"/>
  <c r="I75" i="5"/>
  <c r="H75" i="5"/>
  <c r="G75" i="5"/>
  <c r="AG74" i="5"/>
  <c r="AF74" i="5"/>
  <c r="AE74" i="5"/>
  <c r="AD74" i="5"/>
  <c r="AC74" i="5"/>
  <c r="AB74" i="5"/>
  <c r="AA74" i="5"/>
  <c r="Z74" i="5"/>
  <c r="Y74" i="5"/>
  <c r="X74" i="5"/>
  <c r="W74" i="5"/>
  <c r="V74" i="5"/>
  <c r="R74" i="5"/>
  <c r="Q74" i="5"/>
  <c r="P74" i="5"/>
  <c r="O74" i="5"/>
  <c r="N74" i="5"/>
  <c r="M74" i="5"/>
  <c r="L74" i="5"/>
  <c r="K74" i="5"/>
  <c r="J74" i="5"/>
  <c r="I74" i="5"/>
  <c r="H74" i="5"/>
  <c r="G74" i="5"/>
  <c r="AG73" i="5"/>
  <c r="AF73" i="5"/>
  <c r="AE73" i="5"/>
  <c r="AD73" i="5"/>
  <c r="AC73" i="5"/>
  <c r="AB73" i="5"/>
  <c r="AA73" i="5"/>
  <c r="Z73" i="5"/>
  <c r="Y73" i="5"/>
  <c r="X73" i="5"/>
  <c r="W73" i="5"/>
  <c r="V73" i="5"/>
  <c r="U73" i="5"/>
  <c r="R73" i="5"/>
  <c r="Q73" i="5"/>
  <c r="P73" i="5"/>
  <c r="O73" i="5"/>
  <c r="N73" i="5"/>
  <c r="M73" i="5"/>
  <c r="L73" i="5"/>
  <c r="K73" i="5"/>
  <c r="J73" i="5"/>
  <c r="I73" i="5"/>
  <c r="H73" i="5"/>
  <c r="G73" i="5"/>
  <c r="AG72" i="5"/>
  <c r="AF72" i="5"/>
  <c r="AE72" i="5"/>
  <c r="AD72" i="5"/>
  <c r="AC72" i="5"/>
  <c r="AB72" i="5"/>
  <c r="AA72" i="5"/>
  <c r="Z72" i="5"/>
  <c r="Y72" i="5"/>
  <c r="X72" i="5"/>
  <c r="W72" i="5"/>
  <c r="V72" i="5"/>
  <c r="R72" i="5"/>
  <c r="Q72" i="5"/>
  <c r="P72" i="5"/>
  <c r="O72" i="5"/>
  <c r="N72" i="5"/>
  <c r="M72" i="5"/>
  <c r="L72" i="5"/>
  <c r="K72" i="5"/>
  <c r="J72" i="5"/>
  <c r="I72" i="5"/>
  <c r="H72" i="5"/>
  <c r="G72" i="5"/>
  <c r="AG71" i="5"/>
  <c r="AF71" i="5"/>
  <c r="AE71" i="5"/>
  <c r="AD71" i="5"/>
  <c r="AC71" i="5"/>
  <c r="AB71" i="5"/>
  <c r="AA71" i="5"/>
  <c r="Z71" i="5"/>
  <c r="Y71" i="5"/>
  <c r="X71" i="5"/>
  <c r="W71" i="5"/>
  <c r="V71" i="5"/>
  <c r="R71" i="5"/>
  <c r="Q71" i="5"/>
  <c r="P71" i="5"/>
  <c r="O71" i="5"/>
  <c r="N71" i="5"/>
  <c r="M71" i="5"/>
  <c r="L71" i="5"/>
  <c r="K71" i="5"/>
  <c r="J71" i="5"/>
  <c r="I71" i="5"/>
  <c r="H71" i="5"/>
  <c r="G71" i="5"/>
  <c r="AG70" i="5"/>
  <c r="AF70" i="5"/>
  <c r="AE70" i="5"/>
  <c r="AD70" i="5"/>
  <c r="AC70" i="5"/>
  <c r="AB70" i="5"/>
  <c r="AA70" i="5"/>
  <c r="Z70" i="5"/>
  <c r="Y70" i="5"/>
  <c r="X70" i="5"/>
  <c r="W70" i="5"/>
  <c r="V70" i="5"/>
  <c r="R70" i="5"/>
  <c r="Q70" i="5"/>
  <c r="P70" i="5"/>
  <c r="O70" i="5"/>
  <c r="N70" i="5"/>
  <c r="M70" i="5"/>
  <c r="L70" i="5"/>
  <c r="K70" i="5"/>
  <c r="J70" i="5"/>
  <c r="I70" i="5"/>
  <c r="H70" i="5"/>
  <c r="G70" i="5"/>
  <c r="AG69" i="5"/>
  <c r="AF69" i="5"/>
  <c r="AE69" i="5"/>
  <c r="AD69" i="5"/>
  <c r="AC69" i="5"/>
  <c r="AB69" i="5"/>
  <c r="AA69" i="5"/>
  <c r="Z69" i="5"/>
  <c r="Y69" i="5"/>
  <c r="X69" i="5"/>
  <c r="W69" i="5"/>
  <c r="V69" i="5"/>
  <c r="U69" i="5"/>
  <c r="R69" i="5"/>
  <c r="Q69" i="5"/>
  <c r="P69" i="5"/>
  <c r="O69" i="5"/>
  <c r="N69" i="5"/>
  <c r="M69" i="5"/>
  <c r="L69" i="5"/>
  <c r="K69" i="5"/>
  <c r="J69" i="5"/>
  <c r="I69" i="5"/>
  <c r="H69" i="5"/>
  <c r="G69" i="5"/>
  <c r="AG68" i="5"/>
  <c r="AF68" i="5"/>
  <c r="AE68" i="5"/>
  <c r="AD68" i="5"/>
  <c r="AC68" i="5"/>
  <c r="AB68" i="5"/>
  <c r="AA68" i="5"/>
  <c r="Z68" i="5"/>
  <c r="Y68" i="5"/>
  <c r="X68" i="5"/>
  <c r="W68" i="5"/>
  <c r="V68" i="5"/>
  <c r="R68" i="5"/>
  <c r="Q68" i="5"/>
  <c r="P68" i="5"/>
  <c r="O68" i="5"/>
  <c r="N68" i="5"/>
  <c r="M68" i="5"/>
  <c r="L68" i="5"/>
  <c r="K68" i="5"/>
  <c r="J68" i="5"/>
  <c r="I68" i="5"/>
  <c r="H68" i="5"/>
  <c r="G68" i="5"/>
  <c r="AG67" i="5"/>
  <c r="AF67" i="5"/>
  <c r="AE67" i="5"/>
  <c r="AD67" i="5"/>
  <c r="AC67" i="5"/>
  <c r="AB67" i="5"/>
  <c r="AA67" i="5"/>
  <c r="Z67" i="5"/>
  <c r="Y67" i="5"/>
  <c r="X67" i="5"/>
  <c r="W67" i="5"/>
  <c r="V67" i="5"/>
  <c r="U67" i="5"/>
  <c r="R67" i="5"/>
  <c r="Q67" i="5"/>
  <c r="P67" i="5"/>
  <c r="O67" i="5"/>
  <c r="N67" i="5"/>
  <c r="M67" i="5"/>
  <c r="L67" i="5"/>
  <c r="K67" i="5"/>
  <c r="J67" i="5"/>
  <c r="I67" i="5"/>
  <c r="H67" i="5"/>
  <c r="G67" i="5"/>
  <c r="AG66" i="5"/>
  <c r="AF66" i="5"/>
  <c r="AE66" i="5"/>
  <c r="AD66" i="5"/>
  <c r="AC66" i="5"/>
  <c r="AB66" i="5"/>
  <c r="AA66" i="5"/>
  <c r="Z66" i="5"/>
  <c r="Y66" i="5"/>
  <c r="X66" i="5"/>
  <c r="W66" i="5"/>
  <c r="V66" i="5"/>
  <c r="R66" i="5"/>
  <c r="Q66" i="5"/>
  <c r="P66" i="5"/>
  <c r="O66" i="5"/>
  <c r="N66" i="5"/>
  <c r="M66" i="5"/>
  <c r="L66" i="5"/>
  <c r="K66" i="5"/>
  <c r="J66" i="5"/>
  <c r="I66" i="5"/>
  <c r="H66" i="5"/>
  <c r="G66" i="5"/>
  <c r="AB65" i="5"/>
  <c r="R65" i="5"/>
  <c r="Q65" i="5"/>
  <c r="J65" i="5"/>
  <c r="I65" i="5"/>
  <c r="AG61" i="5"/>
  <c r="AF61" i="5"/>
  <c r="AE61" i="5"/>
  <c r="AD61" i="5"/>
  <c r="AC61" i="5"/>
  <c r="AB61" i="5"/>
  <c r="AA61" i="5"/>
  <c r="Z61" i="5"/>
  <c r="Y61" i="5"/>
  <c r="X61" i="5"/>
  <c r="W61" i="5"/>
  <c r="V61" i="5"/>
  <c r="R61" i="5"/>
  <c r="Q61" i="5"/>
  <c r="P61" i="5"/>
  <c r="O61" i="5"/>
  <c r="N61" i="5"/>
  <c r="M61" i="5"/>
  <c r="L61" i="5"/>
  <c r="K61" i="5"/>
  <c r="J61" i="5"/>
  <c r="I61" i="5"/>
  <c r="H61" i="5"/>
  <c r="G61" i="5"/>
  <c r="F61" i="5"/>
  <c r="AG60" i="5"/>
  <c r="AF60" i="5"/>
  <c r="AE60" i="5"/>
  <c r="AD60" i="5"/>
  <c r="AC60" i="5"/>
  <c r="AB60" i="5"/>
  <c r="AA60" i="5"/>
  <c r="Z60" i="5"/>
  <c r="Y60" i="5"/>
  <c r="X60" i="5"/>
  <c r="W60" i="5"/>
  <c r="V60" i="5"/>
  <c r="R60" i="5"/>
  <c r="Q60" i="5"/>
  <c r="P60" i="5"/>
  <c r="O60" i="5"/>
  <c r="N60" i="5"/>
  <c r="M60" i="5"/>
  <c r="L60" i="5"/>
  <c r="K60" i="5"/>
  <c r="J60" i="5"/>
  <c r="I60" i="5"/>
  <c r="H60" i="5"/>
  <c r="G60" i="5"/>
  <c r="AG59" i="5"/>
  <c r="AF59" i="5"/>
  <c r="AE59" i="5"/>
  <c r="AD59" i="5"/>
  <c r="AC59" i="5"/>
  <c r="AB59" i="5"/>
  <c r="AA59" i="5"/>
  <c r="Z59" i="5"/>
  <c r="Y59" i="5"/>
  <c r="X59" i="5"/>
  <c r="W59" i="5"/>
  <c r="V59" i="5"/>
  <c r="R59" i="5"/>
  <c r="Q59" i="5"/>
  <c r="P59" i="5"/>
  <c r="O59" i="5"/>
  <c r="N59" i="5"/>
  <c r="M59" i="5"/>
  <c r="L59" i="5"/>
  <c r="K59" i="5"/>
  <c r="J59" i="5"/>
  <c r="I59" i="5"/>
  <c r="H59" i="5"/>
  <c r="G59" i="5"/>
  <c r="F59" i="5"/>
  <c r="AG58" i="5"/>
  <c r="AF58" i="5"/>
  <c r="AE58" i="5"/>
  <c r="AD58" i="5"/>
  <c r="AC58" i="5"/>
  <c r="AB58" i="5"/>
  <c r="AA58" i="5"/>
  <c r="Z58" i="5"/>
  <c r="Y58" i="5"/>
  <c r="X58" i="5"/>
  <c r="W58" i="5"/>
  <c r="V58" i="5"/>
  <c r="R58" i="5"/>
  <c r="Q58" i="5"/>
  <c r="P58" i="5"/>
  <c r="O58" i="5"/>
  <c r="N58" i="5"/>
  <c r="M58" i="5"/>
  <c r="L58" i="5"/>
  <c r="K58" i="5"/>
  <c r="J58" i="5"/>
  <c r="I58" i="5"/>
  <c r="H58" i="5"/>
  <c r="G58" i="5"/>
  <c r="AG57" i="5"/>
  <c r="AF57" i="5"/>
  <c r="AE57" i="5"/>
  <c r="AD57" i="5"/>
  <c r="AC57" i="5"/>
  <c r="AB57" i="5"/>
  <c r="AA57" i="5"/>
  <c r="Z57" i="5"/>
  <c r="Y57" i="5"/>
  <c r="X57" i="5"/>
  <c r="W57" i="5"/>
  <c r="V57" i="5"/>
  <c r="R57" i="5"/>
  <c r="Q57" i="5"/>
  <c r="P57" i="5"/>
  <c r="O57" i="5"/>
  <c r="N57" i="5"/>
  <c r="M57" i="5"/>
  <c r="L57" i="5"/>
  <c r="K57" i="5"/>
  <c r="J57" i="5"/>
  <c r="I57" i="5"/>
  <c r="H57" i="5"/>
  <c r="G57" i="5"/>
  <c r="AG56" i="5"/>
  <c r="AF56" i="5"/>
  <c r="AE56" i="5"/>
  <c r="AD56" i="5"/>
  <c r="AC56" i="5"/>
  <c r="AB56" i="5"/>
  <c r="AA56" i="5"/>
  <c r="Z56" i="5"/>
  <c r="Y56" i="5"/>
  <c r="X56" i="5"/>
  <c r="W56" i="5"/>
  <c r="V56" i="5"/>
  <c r="R56" i="5"/>
  <c r="Q56" i="5"/>
  <c r="P56" i="5"/>
  <c r="O56" i="5"/>
  <c r="N56" i="5"/>
  <c r="M56" i="5"/>
  <c r="L56" i="5"/>
  <c r="K56" i="5"/>
  <c r="J56" i="5"/>
  <c r="I56" i="5"/>
  <c r="H56" i="5"/>
  <c r="G56" i="5"/>
  <c r="AG55" i="5"/>
  <c r="AF55" i="5"/>
  <c r="AE55" i="5"/>
  <c r="AD55" i="5"/>
  <c r="AC55" i="5"/>
  <c r="AB55" i="5"/>
  <c r="AA55" i="5"/>
  <c r="Z55" i="5"/>
  <c r="Y55" i="5"/>
  <c r="X55" i="5"/>
  <c r="W55" i="5"/>
  <c r="V55" i="5"/>
  <c r="R55" i="5"/>
  <c r="Q55" i="5"/>
  <c r="P55" i="5"/>
  <c r="O55" i="5"/>
  <c r="N55" i="5"/>
  <c r="M55" i="5"/>
  <c r="L55" i="5"/>
  <c r="K55" i="5"/>
  <c r="J55" i="5"/>
  <c r="I55" i="5"/>
  <c r="H55" i="5"/>
  <c r="G55" i="5"/>
  <c r="AG54" i="5"/>
  <c r="AF54" i="5"/>
  <c r="AE54" i="5"/>
  <c r="AD54" i="5"/>
  <c r="AC54" i="5"/>
  <c r="AB54" i="5"/>
  <c r="AA54" i="5"/>
  <c r="Z54" i="5"/>
  <c r="Y54" i="5"/>
  <c r="X54" i="5"/>
  <c r="W54" i="5"/>
  <c r="V54" i="5"/>
  <c r="R54" i="5"/>
  <c r="Q54" i="5"/>
  <c r="P54" i="5"/>
  <c r="O54" i="5"/>
  <c r="N54" i="5"/>
  <c r="M54" i="5"/>
  <c r="L54" i="5"/>
  <c r="K54" i="5"/>
  <c r="J54" i="5"/>
  <c r="I54" i="5"/>
  <c r="H54" i="5"/>
  <c r="G54" i="5"/>
  <c r="AG53" i="5"/>
  <c r="AF53" i="5"/>
  <c r="AE53" i="5"/>
  <c r="AD53" i="5"/>
  <c r="AC53" i="5"/>
  <c r="AB53" i="5"/>
  <c r="AA53" i="5"/>
  <c r="Z53" i="5"/>
  <c r="Y53" i="5"/>
  <c r="X53" i="5"/>
  <c r="W53" i="5"/>
  <c r="V53" i="5"/>
  <c r="R53" i="5"/>
  <c r="Q53" i="5"/>
  <c r="P53" i="5"/>
  <c r="O53" i="5"/>
  <c r="N53" i="5"/>
  <c r="M53" i="5"/>
  <c r="L53" i="5"/>
  <c r="K53" i="5"/>
  <c r="J53" i="5"/>
  <c r="I53" i="5"/>
  <c r="H53" i="5"/>
  <c r="G53" i="5"/>
  <c r="F53" i="5"/>
  <c r="AG52" i="5"/>
  <c r="AF52" i="5"/>
  <c r="AE52" i="5"/>
  <c r="AD52" i="5"/>
  <c r="AC52" i="5"/>
  <c r="AB52" i="5"/>
  <c r="AA52" i="5"/>
  <c r="Z52" i="5"/>
  <c r="Y52" i="5"/>
  <c r="X52" i="5"/>
  <c r="W52" i="5"/>
  <c r="V52" i="5"/>
  <c r="R52" i="5"/>
  <c r="Q52" i="5"/>
  <c r="P52" i="5"/>
  <c r="O52" i="5"/>
  <c r="N52" i="5"/>
  <c r="M52" i="5"/>
  <c r="L52" i="5"/>
  <c r="K52" i="5"/>
  <c r="J52" i="5"/>
  <c r="I52" i="5"/>
  <c r="H52" i="5"/>
  <c r="G52" i="5"/>
  <c r="AG51" i="5"/>
  <c r="AF51" i="5"/>
  <c r="AE51" i="5"/>
  <c r="AD51" i="5"/>
  <c r="AC51" i="5"/>
  <c r="AB51" i="5"/>
  <c r="AA51" i="5"/>
  <c r="Z51" i="5"/>
  <c r="Y51" i="5"/>
  <c r="X51" i="5"/>
  <c r="W51" i="5"/>
  <c r="V51" i="5"/>
  <c r="R51" i="5"/>
  <c r="Q51" i="5"/>
  <c r="P51" i="5"/>
  <c r="O51" i="5"/>
  <c r="N51" i="5"/>
  <c r="M51" i="5"/>
  <c r="L51" i="5"/>
  <c r="K51" i="5"/>
  <c r="J51" i="5"/>
  <c r="I51" i="5"/>
  <c r="H51" i="5"/>
  <c r="G51" i="5"/>
  <c r="F51" i="5"/>
  <c r="AG50" i="5"/>
  <c r="AF50" i="5"/>
  <c r="AE50" i="5"/>
  <c r="AD50" i="5"/>
  <c r="AC50" i="5"/>
  <c r="AB50" i="5"/>
  <c r="AA50" i="5"/>
  <c r="Z50" i="5"/>
  <c r="Y50" i="5"/>
  <c r="X50" i="5"/>
  <c r="W50" i="5"/>
  <c r="V50" i="5"/>
  <c r="R50" i="5"/>
  <c r="Q50" i="5"/>
  <c r="P50" i="5"/>
  <c r="O50" i="5"/>
  <c r="N50" i="5"/>
  <c r="M50" i="5"/>
  <c r="L50" i="5"/>
  <c r="K50" i="5"/>
  <c r="J50" i="5"/>
  <c r="I50" i="5"/>
  <c r="H50" i="5"/>
  <c r="G50" i="5"/>
  <c r="AE49" i="5"/>
  <c r="AD49" i="5"/>
  <c r="W49" i="5"/>
  <c r="N49" i="5"/>
  <c r="L49" i="5"/>
  <c r="K49" i="5"/>
  <c r="U93" i="5"/>
  <c r="F109" i="5"/>
  <c r="F140" i="5"/>
  <c r="U91" i="5"/>
  <c r="F107" i="5"/>
  <c r="U89" i="5"/>
  <c r="U136" i="5"/>
  <c r="F136" i="5"/>
  <c r="F103" i="5"/>
  <c r="U6" i="5"/>
  <c r="F134" i="5"/>
  <c r="U85" i="5"/>
  <c r="F101" i="5"/>
  <c r="F132" i="5"/>
  <c r="U83" i="5"/>
  <c r="F99" i="5"/>
  <c r="U130" i="5"/>
  <c r="AG49" i="5"/>
  <c r="AE97" i="5"/>
  <c r="AD97" i="5"/>
  <c r="AB113" i="5"/>
  <c r="AA81" i="5"/>
  <c r="Z129" i="5"/>
  <c r="Y97" i="5"/>
  <c r="X97" i="5"/>
  <c r="W97" i="5"/>
  <c r="Q113" i="5"/>
  <c r="P81" i="5"/>
  <c r="O129" i="5"/>
  <c r="N17" i="5"/>
  <c r="M97" i="5"/>
  <c r="L97" i="5"/>
  <c r="K97" i="5"/>
  <c r="I113" i="5"/>
  <c r="G129" i="5"/>
  <c r="U29" i="5"/>
  <c r="F29" i="5"/>
  <c r="F28" i="5"/>
  <c r="U27" i="5"/>
  <c r="F27" i="5"/>
  <c r="U25" i="5"/>
  <c r="F25" i="5"/>
  <c r="U24" i="5"/>
  <c r="F24" i="5"/>
  <c r="F23" i="5"/>
  <c r="F22" i="5"/>
  <c r="U21" i="5"/>
  <c r="F21" i="5"/>
  <c r="U20" i="5"/>
  <c r="F20" i="5"/>
  <c r="U19" i="5"/>
  <c r="F19" i="5"/>
  <c r="U18" i="5"/>
  <c r="AF17" i="5"/>
  <c r="AE17" i="5"/>
  <c r="AD17" i="5"/>
  <c r="AC17" i="5"/>
  <c r="AB17" i="5"/>
  <c r="Z17" i="5"/>
  <c r="X17" i="5"/>
  <c r="W17" i="5"/>
  <c r="R17" i="5"/>
  <c r="Q17" i="5"/>
  <c r="O17" i="5"/>
  <c r="L17" i="5"/>
  <c r="K17" i="5"/>
  <c r="J17" i="5"/>
  <c r="I17" i="5"/>
  <c r="G17" i="5"/>
  <c r="U13" i="5"/>
  <c r="F13" i="5"/>
  <c r="U12" i="5"/>
  <c r="F12" i="5"/>
  <c r="U11" i="5"/>
  <c r="F11" i="5"/>
  <c r="F10" i="5"/>
  <c r="U9" i="5"/>
  <c r="F8" i="5"/>
  <c r="U7" i="5"/>
  <c r="F6" i="5"/>
  <c r="U5" i="5"/>
  <c r="F5" i="5"/>
  <c r="U4" i="5"/>
  <c r="F4" i="5"/>
  <c r="U3" i="5"/>
  <c r="F3" i="5"/>
  <c r="U2" i="5"/>
  <c r="AF1" i="5"/>
  <c r="AE1" i="5"/>
  <c r="AD1" i="5"/>
  <c r="AC1" i="5"/>
  <c r="AB1" i="5"/>
  <c r="Z1" i="5"/>
  <c r="X1" i="5"/>
  <c r="W1" i="5"/>
  <c r="R1" i="5"/>
  <c r="Q1" i="5"/>
  <c r="O1" i="5"/>
  <c r="M1" i="5"/>
  <c r="L1" i="5"/>
  <c r="K1" i="5"/>
  <c r="J1" i="5"/>
  <c r="I1" i="5"/>
  <c r="G1" i="5"/>
  <c r="Z56" i="4"/>
  <c r="H56" i="4"/>
  <c r="Z55" i="4"/>
  <c r="H55" i="4"/>
  <c r="Z54" i="4"/>
  <c r="H54" i="4"/>
  <c r="Z53" i="4"/>
  <c r="H53" i="4"/>
  <c r="Z52" i="4"/>
  <c r="H52" i="4"/>
  <c r="Z51" i="4"/>
  <c r="Z50" i="4"/>
  <c r="H50" i="4"/>
  <c r="Z48" i="4"/>
  <c r="H48" i="4"/>
  <c r="AJ32" i="4"/>
  <c r="AI32" i="4"/>
  <c r="AH32" i="4"/>
  <c r="AG32" i="4"/>
  <c r="AF32" i="4"/>
  <c r="AE32" i="4"/>
  <c r="AD32" i="4"/>
  <c r="AC32" i="4"/>
  <c r="AB32" i="4"/>
  <c r="AA32" i="4"/>
  <c r="Z32" i="4"/>
  <c r="Y32" i="4"/>
  <c r="R32" i="4"/>
  <c r="Q32" i="4"/>
  <c r="P32" i="4"/>
  <c r="O32" i="4"/>
  <c r="N32" i="4"/>
  <c r="M32" i="4"/>
  <c r="L32" i="4"/>
  <c r="K32" i="4"/>
  <c r="J32" i="4"/>
  <c r="I32" i="4"/>
  <c r="H32" i="4"/>
  <c r="G32" i="4"/>
  <c r="AK31" i="4"/>
  <c r="X31" i="4"/>
  <c r="S31" i="4"/>
  <c r="F31" i="4"/>
  <c r="AK30" i="4"/>
  <c r="X30" i="4"/>
  <c r="S30" i="4"/>
  <c r="F30" i="4"/>
  <c r="AK29" i="4"/>
  <c r="X29" i="4"/>
  <c r="S29" i="4"/>
  <c r="AK28" i="4"/>
  <c r="S28" i="4"/>
  <c r="AK27" i="4"/>
  <c r="X27" i="4"/>
  <c r="S27" i="4"/>
  <c r="AK26" i="4"/>
  <c r="X26" i="4"/>
  <c r="S26" i="4"/>
  <c r="F26" i="4"/>
  <c r="AK25" i="4"/>
  <c r="S25" i="4"/>
  <c r="AK24" i="4"/>
  <c r="X24" i="4"/>
  <c r="S24" i="4"/>
  <c r="F24" i="4"/>
  <c r="AK23" i="4"/>
  <c r="X23" i="4"/>
  <c r="S23" i="4"/>
  <c r="F23" i="4"/>
  <c r="AK22" i="4"/>
  <c r="X22" i="4"/>
  <c r="S22" i="4"/>
  <c r="F22" i="4"/>
  <c r="AK21" i="4"/>
  <c r="X21" i="4"/>
  <c r="S21" i="4"/>
  <c r="AK20" i="4"/>
  <c r="S20" i="4"/>
  <c r="F20" i="4"/>
  <c r="AI19" i="4"/>
  <c r="AG19" i="4"/>
  <c r="AE19" i="4"/>
  <c r="AC19" i="4"/>
  <c r="AA19" i="4"/>
  <c r="Y19" i="4"/>
  <c r="M19" i="4"/>
  <c r="K19" i="4"/>
  <c r="G19" i="4"/>
  <c r="AJ19" i="4"/>
  <c r="AH19" i="4"/>
  <c r="AF19" i="4"/>
  <c r="AD19" i="4"/>
  <c r="AB19" i="4"/>
  <c r="Z19" i="4"/>
  <c r="R19" i="4"/>
  <c r="P19" i="4"/>
  <c r="L19" i="4"/>
  <c r="J19" i="4"/>
  <c r="J14" i="3"/>
  <c r="I14" i="3"/>
  <c r="H14" i="3"/>
  <c r="N13" i="3"/>
  <c r="AJ17" i="4" s="1"/>
  <c r="M13" i="3"/>
  <c r="AN13" i="4" s="1"/>
  <c r="L13" i="3"/>
  <c r="K13" i="3"/>
  <c r="V13" i="4" s="1"/>
  <c r="N12" i="3"/>
  <c r="AI17" i="4" s="1"/>
  <c r="M12" i="3"/>
  <c r="AN12" i="4" s="1"/>
  <c r="L12" i="3"/>
  <c r="Q17" i="4" s="1"/>
  <c r="K12" i="3"/>
  <c r="V12" i="4" s="1"/>
  <c r="N11" i="3"/>
  <c r="AH17" i="4" s="1"/>
  <c r="M11" i="3"/>
  <c r="AN11" i="4" s="1"/>
  <c r="L11" i="3"/>
  <c r="P17" i="4" s="1"/>
  <c r="K11" i="3"/>
  <c r="V11" i="4" s="1"/>
  <c r="N10" i="3"/>
  <c r="AG17" i="4" s="1"/>
  <c r="M10" i="3"/>
  <c r="AN10" i="4" s="1"/>
  <c r="L10" i="3"/>
  <c r="O17" i="4" s="1"/>
  <c r="K10" i="3"/>
  <c r="V10" i="4" s="1"/>
  <c r="N9" i="3"/>
  <c r="AF17" i="4" s="1"/>
  <c r="M9" i="3"/>
  <c r="AN9" i="4" s="1"/>
  <c r="L9" i="3"/>
  <c r="K9" i="3"/>
  <c r="V9" i="4" s="1"/>
  <c r="N8" i="3"/>
  <c r="AE17" i="4" s="1"/>
  <c r="M8" i="3"/>
  <c r="AN8" i="4" s="1"/>
  <c r="L8" i="3"/>
  <c r="K8" i="3"/>
  <c r="N7" i="3"/>
  <c r="AD17" i="4" s="1"/>
  <c r="M7" i="3"/>
  <c r="AN7" i="4" s="1"/>
  <c r="L7" i="3"/>
  <c r="K7" i="3"/>
  <c r="V7" i="4" s="1"/>
  <c r="N6" i="3"/>
  <c r="AC17" i="4" s="1"/>
  <c r="M6" i="3"/>
  <c r="AN6" i="4" s="1"/>
  <c r="L6" i="3"/>
  <c r="K6" i="3"/>
  <c r="V6" i="4" s="1"/>
  <c r="N5" i="3"/>
  <c r="AB17" i="4" s="1"/>
  <c r="M5" i="3"/>
  <c r="AN5" i="4" s="1"/>
  <c r="L5" i="3"/>
  <c r="J17" i="4" s="1"/>
  <c r="K5" i="3"/>
  <c r="V5" i="4" s="1"/>
  <c r="N4" i="3"/>
  <c r="AA17" i="4" s="1"/>
  <c r="M4" i="3"/>
  <c r="AN4" i="4" s="1"/>
  <c r="L4" i="3"/>
  <c r="I17" i="4" s="1"/>
  <c r="K4" i="3"/>
  <c r="V4" i="4" s="1"/>
  <c r="N3" i="3"/>
  <c r="Z17" i="4" s="1"/>
  <c r="M3" i="3"/>
  <c r="AN3" i="4" s="1"/>
  <c r="L3" i="3"/>
  <c r="H17" i="4" s="1"/>
  <c r="K3" i="3"/>
  <c r="V3" i="4" s="1"/>
  <c r="N2" i="3"/>
  <c r="Y17" i="4" s="1"/>
  <c r="M2" i="3"/>
  <c r="AN2" i="4" s="1"/>
  <c r="L2" i="3"/>
  <c r="G17" i="4" s="1"/>
  <c r="K2" i="3"/>
  <c r="V2" i="4" s="1"/>
  <c r="M133" i="2"/>
  <c r="R132" i="2"/>
  <c r="M132" i="2"/>
  <c r="R131" i="2"/>
  <c r="M131" i="2"/>
  <c r="R130" i="2"/>
  <c r="M130" i="2"/>
  <c r="M129" i="2"/>
  <c r="R128" i="2"/>
  <c r="M128" i="2"/>
  <c r="R127" i="2"/>
  <c r="M127" i="2"/>
  <c r="R126" i="2"/>
  <c r="M126" i="2"/>
  <c r="M125" i="2"/>
  <c r="R124" i="2"/>
  <c r="M124" i="2"/>
  <c r="R123" i="2"/>
  <c r="M123" i="2"/>
  <c r="R122" i="2"/>
  <c r="M122" i="2"/>
  <c r="M121" i="2"/>
  <c r="R120" i="2"/>
  <c r="M120" i="2"/>
  <c r="R119" i="2"/>
  <c r="M119" i="2"/>
  <c r="R118" i="2"/>
  <c r="M118" i="2"/>
  <c r="M117" i="2"/>
  <c r="R116" i="2"/>
  <c r="M116" i="2"/>
  <c r="R115" i="2"/>
  <c r="M115" i="2"/>
  <c r="R114" i="2"/>
  <c r="M114" i="2"/>
  <c r="M113" i="2"/>
  <c r="R112" i="2"/>
  <c r="M112" i="2"/>
  <c r="R111" i="2"/>
  <c r="M111" i="2"/>
  <c r="R110" i="2"/>
  <c r="M110" i="2"/>
  <c r="M109" i="2"/>
  <c r="R108" i="2"/>
  <c r="M108" i="2"/>
  <c r="R107" i="2"/>
  <c r="M107" i="2"/>
  <c r="R106" i="2"/>
  <c r="M106" i="2"/>
  <c r="M105" i="2"/>
  <c r="R104" i="2"/>
  <c r="M104" i="2"/>
  <c r="R103" i="2"/>
  <c r="M103" i="2"/>
  <c r="R102" i="2"/>
  <c r="M102" i="2"/>
  <c r="M101" i="2"/>
  <c r="R100" i="2"/>
  <c r="M100" i="2"/>
  <c r="R99" i="2"/>
  <c r="M99" i="2"/>
  <c r="R98" i="2"/>
  <c r="M98" i="2"/>
  <c r="M97" i="2"/>
  <c r="R96" i="2"/>
  <c r="M96" i="2"/>
  <c r="R95" i="2"/>
  <c r="M95" i="2"/>
  <c r="R94" i="2"/>
  <c r="M94" i="2"/>
  <c r="M93" i="2"/>
  <c r="R92" i="2"/>
  <c r="M92" i="2"/>
  <c r="R91" i="2"/>
  <c r="M91" i="2"/>
  <c r="R90" i="2"/>
  <c r="M90" i="2"/>
  <c r="M89" i="2"/>
  <c r="R88" i="2"/>
  <c r="M88" i="2"/>
  <c r="R87" i="2"/>
  <c r="M87" i="2"/>
  <c r="R86" i="2"/>
  <c r="M86" i="2"/>
  <c r="M85" i="2"/>
  <c r="R84" i="2"/>
  <c r="M84" i="2"/>
  <c r="R83" i="2"/>
  <c r="M83" i="2"/>
  <c r="R82" i="2"/>
  <c r="M82" i="2"/>
  <c r="M81" i="2"/>
  <c r="R80" i="2"/>
  <c r="M80" i="2"/>
  <c r="R79" i="2"/>
  <c r="M79" i="2"/>
  <c r="R78" i="2"/>
  <c r="M78" i="2"/>
  <c r="M77" i="2"/>
  <c r="R76" i="2"/>
  <c r="M76" i="2"/>
  <c r="R75" i="2"/>
  <c r="M75" i="2"/>
  <c r="R74" i="2"/>
  <c r="M74" i="2"/>
  <c r="M73" i="2"/>
  <c r="R72" i="2"/>
  <c r="M72" i="2"/>
  <c r="R71" i="2"/>
  <c r="M71" i="2"/>
  <c r="R70" i="2"/>
  <c r="M70" i="2"/>
  <c r="M69" i="2"/>
  <c r="R68" i="2"/>
  <c r="M68" i="2"/>
  <c r="R67" i="2"/>
  <c r="M67" i="2"/>
  <c r="R66" i="2"/>
  <c r="M66" i="2"/>
  <c r="M65" i="2"/>
  <c r="R64" i="2"/>
  <c r="M64" i="2"/>
  <c r="R63" i="2"/>
  <c r="M63" i="2"/>
  <c r="R62" i="2"/>
  <c r="M62" i="2"/>
  <c r="M61" i="2"/>
  <c r="R60" i="2"/>
  <c r="M60" i="2"/>
  <c r="R59" i="2"/>
  <c r="M59" i="2"/>
  <c r="R58" i="2"/>
  <c r="M58" i="2"/>
  <c r="M57" i="2"/>
  <c r="R56" i="2"/>
  <c r="M56" i="2"/>
  <c r="R55" i="2"/>
  <c r="M55" i="2"/>
  <c r="R54" i="2"/>
  <c r="M54" i="2"/>
  <c r="M53" i="2"/>
  <c r="R52" i="2"/>
  <c r="M52" i="2"/>
  <c r="R51" i="2"/>
  <c r="M51" i="2"/>
  <c r="R50" i="2"/>
  <c r="M50" i="2"/>
  <c r="M49" i="2"/>
  <c r="R48" i="2"/>
  <c r="M48" i="2"/>
  <c r="R47" i="2"/>
  <c r="M47" i="2"/>
  <c r="R46" i="2"/>
  <c r="M46" i="2"/>
  <c r="M45" i="2"/>
  <c r="G45" i="2"/>
  <c r="R44" i="2"/>
  <c r="M44" i="2"/>
  <c r="G44" i="2"/>
  <c r="R43" i="2"/>
  <c r="M43" i="2"/>
  <c r="G43" i="2"/>
  <c r="R42" i="2"/>
  <c r="M42" i="2"/>
  <c r="G42" i="2"/>
  <c r="R41" i="2"/>
  <c r="M41" i="2"/>
  <c r="G41" i="2"/>
  <c r="R40" i="2"/>
  <c r="M40" i="2"/>
  <c r="G40" i="2"/>
  <c r="R39" i="2"/>
  <c r="M39" i="2"/>
  <c r="G39" i="2"/>
  <c r="R38" i="2"/>
  <c r="M38" i="2"/>
  <c r="G38" i="2"/>
  <c r="M37" i="2"/>
  <c r="G37" i="2"/>
  <c r="R36" i="2"/>
  <c r="M36" i="2"/>
  <c r="G36" i="2"/>
  <c r="R35" i="2"/>
  <c r="M35" i="2"/>
  <c r="G35" i="2"/>
  <c r="R34" i="2"/>
  <c r="M34" i="2"/>
  <c r="G34" i="2"/>
  <c r="R33" i="2"/>
  <c r="M33" i="2"/>
  <c r="G33" i="2"/>
  <c r="R32" i="2"/>
  <c r="M32" i="2"/>
  <c r="G32" i="2"/>
  <c r="R31" i="2"/>
  <c r="M31" i="2"/>
  <c r="G31" i="2"/>
  <c r="R30" i="2"/>
  <c r="M30" i="2"/>
  <c r="G30" i="2"/>
  <c r="M29" i="2"/>
  <c r="G29" i="2"/>
  <c r="R28" i="2"/>
  <c r="M28" i="2"/>
  <c r="G28" i="2"/>
  <c r="R27" i="2"/>
  <c r="M27" i="2"/>
  <c r="G27" i="2"/>
  <c r="R26" i="2"/>
  <c r="M26" i="2"/>
  <c r="G26" i="2"/>
  <c r="R25" i="2"/>
  <c r="M25" i="2"/>
  <c r="G25" i="2"/>
  <c r="R24" i="2"/>
  <c r="M24" i="2"/>
  <c r="G24" i="2"/>
  <c r="R23" i="2"/>
  <c r="M23" i="2"/>
  <c r="G23" i="2"/>
  <c r="R22" i="2"/>
  <c r="M22" i="2"/>
  <c r="G22" i="2"/>
  <c r="M21" i="2"/>
  <c r="G21" i="2"/>
  <c r="R20" i="2"/>
  <c r="M20" i="2"/>
  <c r="G20" i="2"/>
  <c r="R19" i="2"/>
  <c r="M19" i="2"/>
  <c r="G19" i="2"/>
  <c r="R18" i="2"/>
  <c r="M18" i="2"/>
  <c r="G18" i="2"/>
  <c r="R17" i="2"/>
  <c r="M17" i="2"/>
  <c r="G17" i="2"/>
  <c r="R16" i="2"/>
  <c r="M16" i="2"/>
  <c r="G16" i="2"/>
  <c r="R15" i="2"/>
  <c r="M15" i="2"/>
  <c r="G15" i="2"/>
  <c r="R14" i="2"/>
  <c r="M14" i="2"/>
  <c r="G14" i="2"/>
  <c r="U13" i="2"/>
  <c r="R13" i="2"/>
  <c r="M13" i="2"/>
  <c r="G13" i="2"/>
  <c r="U12" i="2"/>
  <c r="R12" i="2"/>
  <c r="M12" i="2"/>
  <c r="G12" i="2"/>
  <c r="U11" i="2"/>
  <c r="R11" i="2"/>
  <c r="M11" i="2"/>
  <c r="G11" i="2"/>
  <c r="U10" i="2"/>
  <c r="R10" i="2"/>
  <c r="M10" i="2"/>
  <c r="G10" i="2"/>
  <c r="U9" i="2"/>
  <c r="R9" i="2"/>
  <c r="M9" i="2"/>
  <c r="G9" i="2"/>
  <c r="U8" i="2"/>
  <c r="R8" i="2"/>
  <c r="M8" i="2"/>
  <c r="G8" i="2"/>
  <c r="U7" i="2"/>
  <c r="R7" i="2"/>
  <c r="M7" i="2"/>
  <c r="G7" i="2"/>
  <c r="U6" i="2"/>
  <c r="R6" i="2"/>
  <c r="M6" i="2"/>
  <c r="G6" i="2"/>
  <c r="U5" i="2"/>
  <c r="R5" i="2"/>
  <c r="M5" i="2"/>
  <c r="G5" i="2"/>
  <c r="U4" i="2"/>
  <c r="R4" i="2"/>
  <c r="M4" i="2"/>
  <c r="G4" i="2"/>
  <c r="U3" i="2"/>
  <c r="R3" i="2"/>
  <c r="M3" i="2"/>
  <c r="G3" i="2"/>
  <c r="U2" i="2"/>
  <c r="R2" i="2"/>
  <c r="M2" i="2"/>
  <c r="G2" i="2"/>
  <c r="P8" i="3" l="1"/>
  <c r="O8" i="3"/>
  <c r="P7" i="3"/>
  <c r="P13" i="3"/>
  <c r="R17" i="4"/>
  <c r="Q7" i="4"/>
  <c r="Q39" i="5" s="1"/>
  <c r="Q7" i="5" s="1"/>
  <c r="O11" i="3"/>
  <c r="O11" i="4"/>
  <c r="O43" i="5" s="1"/>
  <c r="O11" i="5" s="1"/>
  <c r="O13" i="4"/>
  <c r="O45" i="5" s="1"/>
  <c r="O29" i="5" s="1"/>
  <c r="O12" i="4"/>
  <c r="O44" i="5" s="1"/>
  <c r="O12" i="5" s="1"/>
  <c r="AG12" i="4"/>
  <c r="AD44" i="5" s="1"/>
  <c r="AD12" i="5" s="1"/>
  <c r="AG11" i="4"/>
  <c r="AD43" i="5" s="1"/>
  <c r="AD27" i="5" s="1"/>
  <c r="O10" i="4"/>
  <c r="O42" i="5" s="1"/>
  <c r="O10" i="5" s="1"/>
  <c r="AG9" i="4"/>
  <c r="AD41" i="5" s="1"/>
  <c r="AD9" i="5" s="1"/>
  <c r="P9" i="3"/>
  <c r="N17" i="4"/>
  <c r="AE10" i="4"/>
  <c r="AB42" i="5" s="1"/>
  <c r="AB26" i="5" s="1"/>
  <c r="AE12" i="4"/>
  <c r="AB44" i="5" s="1"/>
  <c r="AB28" i="5" s="1"/>
  <c r="V8" i="4"/>
  <c r="M17" i="4"/>
  <c r="M3" i="4" s="1"/>
  <c r="M35" i="5" s="1"/>
  <c r="M19" i="5" s="1"/>
  <c r="L17" i="4"/>
  <c r="O6" i="4"/>
  <c r="O38" i="5" s="1"/>
  <c r="O6" i="5" s="1"/>
  <c r="Q6" i="4"/>
  <c r="Q38" i="5" s="1"/>
  <c r="Q6" i="5" s="1"/>
  <c r="M6" i="4"/>
  <c r="M38" i="5" s="1"/>
  <c r="M22" i="5" s="1"/>
  <c r="AI6" i="4"/>
  <c r="AF38" i="5" s="1"/>
  <c r="AF6" i="5" s="1"/>
  <c r="AG6" i="4"/>
  <c r="AD38" i="5" s="1"/>
  <c r="AD6" i="5" s="1"/>
  <c r="AC6" i="4"/>
  <c r="Z38" i="5" s="1"/>
  <c r="Z6" i="5" s="1"/>
  <c r="AC9" i="4"/>
  <c r="Z41" i="5" s="1"/>
  <c r="Z25" i="5" s="1"/>
  <c r="AC7" i="4"/>
  <c r="Z39" i="5" s="1"/>
  <c r="Z7" i="5" s="1"/>
  <c r="AC3" i="4"/>
  <c r="Z35" i="5" s="1"/>
  <c r="Z19" i="5" s="1"/>
  <c r="P6" i="3"/>
  <c r="I6" i="4"/>
  <c r="I38" i="5" s="1"/>
  <c r="I6" i="5" s="1"/>
  <c r="K17" i="4"/>
  <c r="K6" i="4" s="1"/>
  <c r="K38" i="5" s="1"/>
  <c r="AG5" i="4"/>
  <c r="AD37" i="5" s="1"/>
  <c r="AD5" i="5" s="1"/>
  <c r="AE5" i="4"/>
  <c r="AB37" i="5" s="1"/>
  <c r="AB5" i="5" s="1"/>
  <c r="AC5" i="4"/>
  <c r="Z37" i="5" s="1"/>
  <c r="Z21" i="5" s="1"/>
  <c r="AI5" i="4"/>
  <c r="AF37" i="5" s="1"/>
  <c r="AF5" i="5" s="1"/>
  <c r="Q5" i="4"/>
  <c r="Q37" i="5" s="1"/>
  <c r="Q5" i="5" s="1"/>
  <c r="O5" i="4"/>
  <c r="O37" i="5" s="1"/>
  <c r="O21" i="5" s="1"/>
  <c r="AA5" i="4"/>
  <c r="X37" i="5" s="1"/>
  <c r="X21" i="5" s="1"/>
  <c r="AA6" i="4"/>
  <c r="X38" i="5" s="1"/>
  <c r="X22" i="5" s="1"/>
  <c r="AI4" i="4"/>
  <c r="AF36" i="5" s="1"/>
  <c r="AF20" i="5" s="1"/>
  <c r="AG4" i="4"/>
  <c r="AD36" i="5" s="1"/>
  <c r="AD20" i="5" s="1"/>
  <c r="AC4" i="4"/>
  <c r="Z36" i="5" s="1"/>
  <c r="Z4" i="5" s="1"/>
  <c r="I3" i="4"/>
  <c r="I35" i="5" s="1"/>
  <c r="I19" i="5" s="1"/>
  <c r="Q3" i="4"/>
  <c r="Q35" i="5" s="1"/>
  <c r="Q3" i="5" s="1"/>
  <c r="Q2" i="4"/>
  <c r="Q34" i="5" s="1"/>
  <c r="Q18" i="5" s="1"/>
  <c r="O2" i="4"/>
  <c r="O34" i="5" s="1"/>
  <c r="O18" i="5" s="1"/>
  <c r="I2" i="4"/>
  <c r="I34" i="5" s="1"/>
  <c r="I18" i="5" s="1"/>
  <c r="M2" i="4"/>
  <c r="M34" i="5" s="1"/>
  <c r="M2" i="5" s="1"/>
  <c r="G3" i="4"/>
  <c r="G35" i="5" s="1"/>
  <c r="G3" i="5" s="1"/>
  <c r="G7" i="4"/>
  <c r="G39" i="5" s="1"/>
  <c r="G13" i="4"/>
  <c r="G45" i="5" s="1"/>
  <c r="G13" i="5" s="1"/>
  <c r="Y2" i="4"/>
  <c r="V34" i="5" s="1"/>
  <c r="V18" i="5" s="1"/>
  <c r="AI2" i="4"/>
  <c r="AF34" i="5" s="1"/>
  <c r="AF18" i="5" s="1"/>
  <c r="AG2" i="4"/>
  <c r="AD34" i="5" s="1"/>
  <c r="AD18" i="5" s="1"/>
  <c r="AC2" i="4"/>
  <c r="Z34" i="5" s="1"/>
  <c r="Z18" i="5" s="1"/>
  <c r="AA2" i="4"/>
  <c r="X34" i="5" s="1"/>
  <c r="X18" i="5" s="1"/>
  <c r="Y5" i="4"/>
  <c r="V37" i="5" s="1"/>
  <c r="V5" i="5" s="1"/>
  <c r="Y11" i="4"/>
  <c r="V43" i="5" s="1"/>
  <c r="V27" i="5" s="1"/>
  <c r="Y6" i="4"/>
  <c r="V38" i="5" s="1"/>
  <c r="V6" i="5" s="1"/>
  <c r="Y12" i="4"/>
  <c r="V44" i="5" s="1"/>
  <c r="V12" i="5" s="1"/>
  <c r="Y4" i="4"/>
  <c r="V36" i="5" s="1"/>
  <c r="V20" i="5" s="1"/>
  <c r="Y10" i="4"/>
  <c r="V42" i="5" s="1"/>
  <c r="V26" i="5" s="1"/>
  <c r="N13" i="12"/>
  <c r="N133" i="12"/>
  <c r="N125" i="12"/>
  <c r="N117" i="12"/>
  <c r="N53" i="12"/>
  <c r="N61" i="12"/>
  <c r="N45" i="12"/>
  <c r="N37" i="12"/>
  <c r="N29" i="12"/>
  <c r="N21" i="12"/>
  <c r="AH77" i="5"/>
  <c r="AH74" i="5"/>
  <c r="S58" i="5"/>
  <c r="J78" i="5"/>
  <c r="S56" i="5"/>
  <c r="S71" i="5"/>
  <c r="AH55" i="5"/>
  <c r="R78" i="5"/>
  <c r="AH70" i="5"/>
  <c r="S70" i="5"/>
  <c r="Q62" i="5"/>
  <c r="P62" i="5"/>
  <c r="N78" i="5"/>
  <c r="K78" i="5"/>
  <c r="I62" i="5"/>
  <c r="AH69" i="5"/>
  <c r="S69" i="5"/>
  <c r="S53" i="5"/>
  <c r="AH53" i="5"/>
  <c r="AF78" i="5"/>
  <c r="Q78" i="5"/>
  <c r="O78" i="5"/>
  <c r="AC62" i="5"/>
  <c r="AB78" i="5"/>
  <c r="Y62" i="5"/>
  <c r="X78" i="5"/>
  <c r="W78" i="5"/>
  <c r="AH52" i="5"/>
  <c r="AH68" i="5"/>
  <c r="G78" i="5"/>
  <c r="AG62" i="5"/>
  <c r="AE78" i="5"/>
  <c r="AA78" i="5"/>
  <c r="L62" i="5"/>
  <c r="Z62" i="5"/>
  <c r="H62" i="5"/>
  <c r="S110" i="5"/>
  <c r="K62" i="5"/>
  <c r="AH126" i="5"/>
  <c r="S50" i="5"/>
  <c r="S142" i="5"/>
  <c r="AH110" i="5"/>
  <c r="AH94" i="5"/>
  <c r="S126" i="5"/>
  <c r="V49" i="5"/>
  <c r="V1" i="5"/>
  <c r="V17" i="5"/>
  <c r="U10" i="5"/>
  <c r="U71" i="5"/>
  <c r="U103" i="5"/>
  <c r="U23" i="5"/>
  <c r="F138" i="5"/>
  <c r="F7" i="5"/>
  <c r="F90" i="5"/>
  <c r="F55" i="5"/>
  <c r="F57" i="5"/>
  <c r="F9" i="5"/>
  <c r="F2" i="5"/>
  <c r="F18" i="5"/>
  <c r="F82" i="5"/>
  <c r="S32" i="4"/>
  <c r="AK32" i="4"/>
  <c r="AG10" i="4"/>
  <c r="AD42" i="5" s="1"/>
  <c r="AD10" i="5" s="1"/>
  <c r="I7" i="4"/>
  <c r="I39" i="5" s="1"/>
  <c r="I23" i="5" s="1"/>
  <c r="G10" i="4"/>
  <c r="G42" i="5" s="1"/>
  <c r="G26" i="5" s="1"/>
  <c r="P10" i="3"/>
  <c r="P4" i="3"/>
  <c r="O10" i="3"/>
  <c r="O12" i="3"/>
  <c r="P5" i="3"/>
  <c r="O3" i="3"/>
  <c r="P3" i="3"/>
  <c r="O13" i="3"/>
  <c r="P12" i="3"/>
  <c r="P11" i="3"/>
  <c r="O9" i="3"/>
  <c r="O7" i="3"/>
  <c r="O6" i="3"/>
  <c r="O5" i="3"/>
  <c r="O4" i="3"/>
  <c r="M14" i="3"/>
  <c r="N14" i="3"/>
  <c r="K14" i="3"/>
  <c r="P2" i="3"/>
  <c r="O2" i="3"/>
  <c r="L14" i="3"/>
  <c r="G16" i="6"/>
  <c r="O16" i="6"/>
  <c r="F21" i="6"/>
  <c r="J16" i="6"/>
  <c r="R16" i="6"/>
  <c r="F24" i="6"/>
  <c r="F37" i="6"/>
  <c r="K16" i="6"/>
  <c r="F17" i="6"/>
  <c r="F25" i="6"/>
  <c r="L16" i="6"/>
  <c r="F18" i="6"/>
  <c r="F26" i="6"/>
  <c r="M16" i="6"/>
  <c r="F19" i="6"/>
  <c r="F27" i="6"/>
  <c r="N16" i="6"/>
  <c r="F20" i="6"/>
  <c r="F28" i="6"/>
  <c r="AH73" i="5"/>
  <c r="V62" i="5"/>
  <c r="AD62" i="5"/>
  <c r="S52" i="5"/>
  <c r="N62" i="5"/>
  <c r="S54" i="5"/>
  <c r="I78" i="5"/>
  <c r="AH58" i="5"/>
  <c r="S61" i="5"/>
  <c r="H129" i="5"/>
  <c r="H65" i="5"/>
  <c r="H113" i="5"/>
  <c r="H49" i="5"/>
  <c r="H97" i="5"/>
  <c r="S51" i="5"/>
  <c r="U8" i="5"/>
  <c r="J62" i="5"/>
  <c r="R62" i="5"/>
  <c r="AB62" i="5"/>
  <c r="AH54" i="5"/>
  <c r="S57" i="5"/>
  <c r="AH57" i="5"/>
  <c r="S60" i="5"/>
  <c r="M78" i="5"/>
  <c r="L78" i="5"/>
  <c r="AH67" i="5"/>
  <c r="V78" i="5"/>
  <c r="AD78" i="5"/>
  <c r="AH72" i="5"/>
  <c r="AH75" i="5"/>
  <c r="S94" i="5"/>
  <c r="P129" i="5"/>
  <c r="P65" i="5"/>
  <c r="P113" i="5"/>
  <c r="P49" i="5"/>
  <c r="P97" i="5"/>
  <c r="U118" i="5"/>
  <c r="U102" i="5"/>
  <c r="U70" i="5"/>
  <c r="U86" i="5"/>
  <c r="U54" i="5"/>
  <c r="AA62" i="5"/>
  <c r="AH51" i="5"/>
  <c r="N1" i="5"/>
  <c r="Y1" i="5"/>
  <c r="AG1" i="5"/>
  <c r="J113" i="5"/>
  <c r="J49" i="5"/>
  <c r="J97" i="5"/>
  <c r="J81" i="5"/>
  <c r="R113" i="5"/>
  <c r="R49" i="5"/>
  <c r="R97" i="5"/>
  <c r="R81" i="5"/>
  <c r="AC113" i="5"/>
  <c r="AC49" i="5"/>
  <c r="AC97" i="5"/>
  <c r="AC81" i="5"/>
  <c r="U116" i="5"/>
  <c r="U100" i="5"/>
  <c r="U68" i="5"/>
  <c r="U84" i="5"/>
  <c r="U52" i="5"/>
  <c r="U124" i="5"/>
  <c r="U28" i="5"/>
  <c r="U108" i="5"/>
  <c r="U76" i="5"/>
  <c r="U92" i="5"/>
  <c r="U60" i="5"/>
  <c r="Y49" i="5"/>
  <c r="AH60" i="5"/>
  <c r="AC65" i="5"/>
  <c r="Y78" i="5"/>
  <c r="AG78" i="5"/>
  <c r="S72" i="5"/>
  <c r="S73" i="5"/>
  <c r="AA129" i="5"/>
  <c r="AA65" i="5"/>
  <c r="AA113" i="5"/>
  <c r="AA49" i="5"/>
  <c r="AA97" i="5"/>
  <c r="U22" i="5"/>
  <c r="AH50" i="5"/>
  <c r="Z78" i="5"/>
  <c r="AH66" i="5"/>
  <c r="N97" i="5"/>
  <c r="AH142" i="5"/>
  <c r="H1" i="5"/>
  <c r="P1" i="5"/>
  <c r="AA1" i="5"/>
  <c r="Y17" i="5"/>
  <c r="AG17" i="5"/>
  <c r="U114" i="5"/>
  <c r="U98" i="5"/>
  <c r="U66" i="5"/>
  <c r="U82" i="5"/>
  <c r="U50" i="5"/>
  <c r="U122" i="5"/>
  <c r="U26" i="5"/>
  <c r="U106" i="5"/>
  <c r="U74" i="5"/>
  <c r="U90" i="5"/>
  <c r="U58" i="5"/>
  <c r="M62" i="5"/>
  <c r="W62" i="5"/>
  <c r="AE62" i="5"/>
  <c r="AH56" i="5"/>
  <c r="S59" i="5"/>
  <c r="AH59" i="5"/>
  <c r="AH61" i="5"/>
  <c r="H78" i="5"/>
  <c r="S66" i="5"/>
  <c r="P78" i="5"/>
  <c r="S67" i="5"/>
  <c r="S74" i="5"/>
  <c r="S75" i="5"/>
  <c r="J129" i="5"/>
  <c r="U134" i="5"/>
  <c r="M81" i="5"/>
  <c r="M129" i="5"/>
  <c r="M65" i="5"/>
  <c r="M113" i="5"/>
  <c r="M49" i="5"/>
  <c r="X81" i="5"/>
  <c r="X129" i="5"/>
  <c r="X65" i="5"/>
  <c r="X113" i="5"/>
  <c r="X49" i="5"/>
  <c r="AF81" i="5"/>
  <c r="AF129" i="5"/>
  <c r="AF65" i="5"/>
  <c r="AF113" i="5"/>
  <c r="AF49" i="5"/>
  <c r="AH71" i="5"/>
  <c r="AH76" i="5"/>
  <c r="H17" i="5"/>
  <c r="P17" i="5"/>
  <c r="AA17" i="5"/>
  <c r="N81" i="5"/>
  <c r="N129" i="5"/>
  <c r="N65" i="5"/>
  <c r="N113" i="5"/>
  <c r="Y81" i="5"/>
  <c r="Y129" i="5"/>
  <c r="Y65" i="5"/>
  <c r="Y113" i="5"/>
  <c r="AG81" i="5"/>
  <c r="AG129" i="5"/>
  <c r="AG65" i="5"/>
  <c r="AG113" i="5"/>
  <c r="U120" i="5"/>
  <c r="U104" i="5"/>
  <c r="U72" i="5"/>
  <c r="U88" i="5"/>
  <c r="U56" i="5"/>
  <c r="G62" i="5"/>
  <c r="O62" i="5"/>
  <c r="X62" i="5"/>
  <c r="AF62" i="5"/>
  <c r="S55" i="5"/>
  <c r="AC78" i="5"/>
  <c r="S68" i="5"/>
  <c r="S76" i="5"/>
  <c r="S77" i="5"/>
  <c r="H81" i="5"/>
  <c r="K65" i="5"/>
  <c r="V65" i="5"/>
  <c r="AD65" i="5"/>
  <c r="F67" i="5"/>
  <c r="F69" i="5"/>
  <c r="F71" i="5"/>
  <c r="F73" i="5"/>
  <c r="F75" i="5"/>
  <c r="F77" i="5"/>
  <c r="I81" i="5"/>
  <c r="Q81" i="5"/>
  <c r="AB81" i="5"/>
  <c r="G97" i="5"/>
  <c r="O97" i="5"/>
  <c r="Z97" i="5"/>
  <c r="F98" i="5"/>
  <c r="F100" i="5"/>
  <c r="F102" i="5"/>
  <c r="F104" i="5"/>
  <c r="F106" i="5"/>
  <c r="F108" i="5"/>
  <c r="U115" i="5"/>
  <c r="U117" i="5"/>
  <c r="U119" i="5"/>
  <c r="U121" i="5"/>
  <c r="U123" i="5"/>
  <c r="U125" i="5"/>
  <c r="K129" i="5"/>
  <c r="V129" i="5"/>
  <c r="AD129" i="5"/>
  <c r="F131" i="5"/>
  <c r="F133" i="5"/>
  <c r="F135" i="5"/>
  <c r="F137" i="5"/>
  <c r="F139" i="5"/>
  <c r="F141" i="5"/>
  <c r="L65" i="5"/>
  <c r="W65" i="5"/>
  <c r="AE65" i="5"/>
  <c r="L129" i="5"/>
  <c r="W129" i="5"/>
  <c r="AE129" i="5"/>
  <c r="G49" i="5"/>
  <c r="O49" i="5"/>
  <c r="Z49" i="5"/>
  <c r="F50" i="5"/>
  <c r="F52" i="5"/>
  <c r="F54" i="5"/>
  <c r="F56" i="5"/>
  <c r="F58" i="5"/>
  <c r="F60" i="5"/>
  <c r="K81" i="5"/>
  <c r="V81" i="5"/>
  <c r="AD81" i="5"/>
  <c r="F83" i="5"/>
  <c r="F85" i="5"/>
  <c r="F87" i="5"/>
  <c r="F89" i="5"/>
  <c r="F91" i="5"/>
  <c r="F93" i="5"/>
  <c r="I97" i="5"/>
  <c r="Q97" i="5"/>
  <c r="AB97" i="5"/>
  <c r="G113" i="5"/>
  <c r="O113" i="5"/>
  <c r="Z113" i="5"/>
  <c r="F114" i="5"/>
  <c r="F116" i="5"/>
  <c r="F118" i="5"/>
  <c r="F120" i="5"/>
  <c r="F122" i="5"/>
  <c r="F124" i="5"/>
  <c r="U131" i="5"/>
  <c r="U133" i="5"/>
  <c r="U135" i="5"/>
  <c r="U137" i="5"/>
  <c r="U139" i="5"/>
  <c r="U141" i="5"/>
  <c r="L81" i="5"/>
  <c r="W81" i="5"/>
  <c r="AE81" i="5"/>
  <c r="I49" i="5"/>
  <c r="Q49" i="5"/>
  <c r="AB49" i="5"/>
  <c r="U51" i="5"/>
  <c r="U53" i="5"/>
  <c r="U55" i="5"/>
  <c r="U57" i="5"/>
  <c r="U59" i="5"/>
  <c r="U61" i="5"/>
  <c r="G65" i="5"/>
  <c r="O65" i="5"/>
  <c r="Z65" i="5"/>
  <c r="F66" i="5"/>
  <c r="F68" i="5"/>
  <c r="F70" i="5"/>
  <c r="F72" i="5"/>
  <c r="F74" i="5"/>
  <c r="F76" i="5"/>
  <c r="Y3" i="4"/>
  <c r="V35" i="5" s="1"/>
  <c r="L4" i="4"/>
  <c r="L36" i="5" s="1"/>
  <c r="L4" i="5" s="1"/>
  <c r="R4" i="4"/>
  <c r="R36" i="5" s="1"/>
  <c r="R4" i="5" s="1"/>
  <c r="J4" i="4"/>
  <c r="J36" i="5" s="1"/>
  <c r="J20" i="5" s="1"/>
  <c r="P4" i="4"/>
  <c r="P36" i="5" s="1"/>
  <c r="P20" i="5" s="1"/>
  <c r="H4" i="4"/>
  <c r="H36" i="5" s="1"/>
  <c r="H4" i="5" s="1"/>
  <c r="Y7" i="4"/>
  <c r="V39" i="5" s="1"/>
  <c r="V23" i="5" s="1"/>
  <c r="L8" i="4"/>
  <c r="L40" i="5" s="1"/>
  <c r="L24" i="5" s="1"/>
  <c r="R8" i="4"/>
  <c r="R40" i="5" s="1"/>
  <c r="R8" i="5" s="1"/>
  <c r="J8" i="4"/>
  <c r="J40" i="5" s="1"/>
  <c r="J24" i="5" s="1"/>
  <c r="P8" i="4"/>
  <c r="P40" i="5" s="1"/>
  <c r="P8" i="5" s="1"/>
  <c r="H8" i="4"/>
  <c r="H40" i="5" s="1"/>
  <c r="H24" i="5" s="1"/>
  <c r="AD8" i="4"/>
  <c r="AA40" i="5" s="1"/>
  <c r="AA24" i="5" s="1"/>
  <c r="AJ8" i="4"/>
  <c r="AG40" i="5" s="1"/>
  <c r="AG24" i="5" s="1"/>
  <c r="AB8" i="4"/>
  <c r="Y40" i="5" s="1"/>
  <c r="Y8" i="5" s="1"/>
  <c r="AI8" i="4"/>
  <c r="AF40" i="5" s="1"/>
  <c r="AF24" i="5" s="1"/>
  <c r="AH8" i="4"/>
  <c r="AE40" i="5" s="1"/>
  <c r="AE24" i="5" s="1"/>
  <c r="Z8" i="4"/>
  <c r="W40" i="5" s="1"/>
  <c r="W8" i="5" s="1"/>
  <c r="AF8" i="4"/>
  <c r="AC40" i="5" s="1"/>
  <c r="AC8" i="5" s="1"/>
  <c r="AE2" i="4"/>
  <c r="AB34" i="5" s="1"/>
  <c r="AB2" i="5" s="1"/>
  <c r="AA3" i="4"/>
  <c r="X35" i="5" s="1"/>
  <c r="X19" i="5" s="1"/>
  <c r="G4" i="4"/>
  <c r="G36" i="5" s="1"/>
  <c r="G4" i="5" s="1"/>
  <c r="AD4" i="4"/>
  <c r="AA36" i="5" s="1"/>
  <c r="AA20" i="5" s="1"/>
  <c r="AJ4" i="4"/>
  <c r="AG36" i="5" s="1"/>
  <c r="AG4" i="5" s="1"/>
  <c r="AB4" i="4"/>
  <c r="Y36" i="5" s="1"/>
  <c r="Y4" i="5" s="1"/>
  <c r="AH4" i="4"/>
  <c r="AE36" i="5" s="1"/>
  <c r="AE4" i="5" s="1"/>
  <c r="Z4" i="4"/>
  <c r="W36" i="5" s="1"/>
  <c r="W4" i="5" s="1"/>
  <c r="AF4" i="4"/>
  <c r="AC36" i="5" s="1"/>
  <c r="AC4" i="5" s="1"/>
  <c r="AE6" i="4"/>
  <c r="AB38" i="5" s="1"/>
  <c r="AB22" i="5" s="1"/>
  <c r="AA7" i="4"/>
  <c r="X39" i="5" s="1"/>
  <c r="X7" i="5" s="1"/>
  <c r="G8" i="4"/>
  <c r="G40" i="5" s="1"/>
  <c r="G24" i="5" s="1"/>
  <c r="Y9" i="4"/>
  <c r="V41" i="5" s="1"/>
  <c r="V9" i="5" s="1"/>
  <c r="AD10" i="4"/>
  <c r="AA42" i="5" s="1"/>
  <c r="AA26" i="5" s="1"/>
  <c r="AC10" i="4"/>
  <c r="Z42" i="5" s="1"/>
  <c r="Z26" i="5" s="1"/>
  <c r="AJ10" i="4"/>
  <c r="AG42" i="5" s="1"/>
  <c r="AG26" i="5" s="1"/>
  <c r="AB10" i="4"/>
  <c r="Y42" i="5" s="1"/>
  <c r="Y10" i="5" s="1"/>
  <c r="AI10" i="4"/>
  <c r="AF42" i="5" s="1"/>
  <c r="AF26" i="5" s="1"/>
  <c r="AA10" i="4"/>
  <c r="X42" i="5" s="1"/>
  <c r="X10" i="5" s="1"/>
  <c r="AH10" i="4"/>
  <c r="AE42" i="5" s="1"/>
  <c r="AE26" i="5" s="1"/>
  <c r="Z10" i="4"/>
  <c r="W42" i="5" s="1"/>
  <c r="W10" i="5" s="1"/>
  <c r="AF10" i="4"/>
  <c r="AC42" i="5" s="1"/>
  <c r="AC26" i="5" s="1"/>
  <c r="AE11" i="4"/>
  <c r="AB43" i="5" s="1"/>
  <c r="AB27" i="5" s="1"/>
  <c r="L9" i="4"/>
  <c r="L41" i="5" s="1"/>
  <c r="L25" i="5" s="1"/>
  <c r="R9" i="4"/>
  <c r="R41" i="5" s="1"/>
  <c r="R25" i="5" s="1"/>
  <c r="J9" i="4"/>
  <c r="J41" i="5" s="1"/>
  <c r="J25" i="5" s="1"/>
  <c r="Q9" i="4"/>
  <c r="Q41" i="5" s="1"/>
  <c r="Q9" i="5" s="1"/>
  <c r="I9" i="4"/>
  <c r="I41" i="5" s="1"/>
  <c r="I25" i="5" s="1"/>
  <c r="P9" i="4"/>
  <c r="P41" i="5" s="1"/>
  <c r="P9" i="5" s="1"/>
  <c r="H9" i="4"/>
  <c r="H41" i="5" s="1"/>
  <c r="H25" i="5" s="1"/>
  <c r="AD13" i="4"/>
  <c r="AA45" i="5" s="1"/>
  <c r="AA13" i="5" s="1"/>
  <c r="AC13" i="4"/>
  <c r="Z45" i="5" s="1"/>
  <c r="Z13" i="5" s="1"/>
  <c r="AJ13" i="4"/>
  <c r="AG45" i="5" s="1"/>
  <c r="AG29" i="5" s="1"/>
  <c r="AB13" i="4"/>
  <c r="Y45" i="5" s="1"/>
  <c r="Y29" i="5" s="1"/>
  <c r="AI13" i="4"/>
  <c r="AF45" i="5" s="1"/>
  <c r="AF13" i="5" s="1"/>
  <c r="AA13" i="4"/>
  <c r="X45" i="5" s="1"/>
  <c r="X13" i="5" s="1"/>
  <c r="AH13" i="4"/>
  <c r="AE45" i="5" s="1"/>
  <c r="AE29" i="5" s="1"/>
  <c r="Z13" i="4"/>
  <c r="W45" i="5" s="1"/>
  <c r="W29" i="5" s="1"/>
  <c r="AF13" i="4"/>
  <c r="AC45" i="5" s="1"/>
  <c r="AC29" i="5" s="1"/>
  <c r="I4" i="4"/>
  <c r="I36" i="5" s="1"/>
  <c r="I4" i="5" s="1"/>
  <c r="L5" i="4"/>
  <c r="L37" i="5" s="1"/>
  <c r="L5" i="5" s="1"/>
  <c r="R5" i="4"/>
  <c r="R37" i="5" s="1"/>
  <c r="R5" i="5" s="1"/>
  <c r="J5" i="4"/>
  <c r="J37" i="5" s="1"/>
  <c r="J5" i="5" s="1"/>
  <c r="P5" i="4"/>
  <c r="P37" i="5" s="1"/>
  <c r="P5" i="5" s="1"/>
  <c r="H5" i="4"/>
  <c r="H37" i="5" s="1"/>
  <c r="H21" i="5" s="1"/>
  <c r="I8" i="4"/>
  <c r="I40" i="5" s="1"/>
  <c r="I8" i="5" s="1"/>
  <c r="Y8" i="4"/>
  <c r="V40" i="5" s="1"/>
  <c r="V24" i="5" s="1"/>
  <c r="G9" i="4"/>
  <c r="G41" i="5" s="1"/>
  <c r="G25" i="5" s="1"/>
  <c r="L13" i="4"/>
  <c r="L45" i="5" s="1"/>
  <c r="L29" i="5" s="1"/>
  <c r="K13" i="4"/>
  <c r="K45" i="5" s="1"/>
  <c r="K13" i="5" s="1"/>
  <c r="R13" i="4"/>
  <c r="R45" i="5" s="1"/>
  <c r="R13" i="5" s="1"/>
  <c r="J13" i="4"/>
  <c r="J45" i="5" s="1"/>
  <c r="J13" i="5" s="1"/>
  <c r="Q13" i="4"/>
  <c r="Q45" i="5" s="1"/>
  <c r="Q13" i="5" s="1"/>
  <c r="I13" i="4"/>
  <c r="I45" i="5" s="1"/>
  <c r="I13" i="5" s="1"/>
  <c r="P13" i="4"/>
  <c r="P45" i="5" s="1"/>
  <c r="P29" i="5" s="1"/>
  <c r="H13" i="4"/>
  <c r="H45" i="5" s="1"/>
  <c r="H29" i="5" s="1"/>
  <c r="AD3" i="4"/>
  <c r="AA35" i="5" s="1"/>
  <c r="AA3" i="5" s="1"/>
  <c r="AJ3" i="4"/>
  <c r="AG35" i="5" s="1"/>
  <c r="AG19" i="5" s="1"/>
  <c r="AB3" i="4"/>
  <c r="Y35" i="5" s="1"/>
  <c r="Y3" i="5" s="1"/>
  <c r="AH3" i="4"/>
  <c r="AE35" i="5" s="1"/>
  <c r="AE3" i="5" s="1"/>
  <c r="Z3" i="4"/>
  <c r="W35" i="5" s="1"/>
  <c r="W19" i="5" s="1"/>
  <c r="AF3" i="4"/>
  <c r="AC35" i="5" s="1"/>
  <c r="AC19" i="5" s="1"/>
  <c r="AD7" i="4"/>
  <c r="AA39" i="5" s="1"/>
  <c r="AA7" i="5" s="1"/>
  <c r="AJ7" i="4"/>
  <c r="AG39" i="5" s="1"/>
  <c r="AG23" i="5" s="1"/>
  <c r="AB7" i="4"/>
  <c r="Y39" i="5" s="1"/>
  <c r="Y7" i="5" s="1"/>
  <c r="AH7" i="4"/>
  <c r="AE39" i="5" s="1"/>
  <c r="AE23" i="5" s="1"/>
  <c r="Z7" i="4"/>
  <c r="W39" i="5" s="1"/>
  <c r="W23" i="5" s="1"/>
  <c r="AF7" i="4"/>
  <c r="AC39" i="5" s="1"/>
  <c r="AC7" i="5" s="1"/>
  <c r="O3" i="4"/>
  <c r="O35" i="5" s="1"/>
  <c r="O3" i="5" s="1"/>
  <c r="AE3" i="4"/>
  <c r="AB35" i="5" s="1"/>
  <c r="AB3" i="5" s="1"/>
  <c r="K4" i="4"/>
  <c r="K36" i="5" s="1"/>
  <c r="K4" i="5" s="1"/>
  <c r="AA4" i="4"/>
  <c r="X36" i="5" s="1"/>
  <c r="X20" i="5" s="1"/>
  <c r="G5" i="4"/>
  <c r="G37" i="5" s="1"/>
  <c r="AD5" i="4"/>
  <c r="AA37" i="5" s="1"/>
  <c r="AA21" i="5" s="1"/>
  <c r="AJ5" i="4"/>
  <c r="AG37" i="5" s="1"/>
  <c r="AG5" i="5" s="1"/>
  <c r="AB5" i="4"/>
  <c r="Y37" i="5" s="1"/>
  <c r="Y21" i="5" s="1"/>
  <c r="AH5" i="4"/>
  <c r="AE37" i="5" s="1"/>
  <c r="AE21" i="5" s="1"/>
  <c r="Z5" i="4"/>
  <c r="W37" i="5" s="1"/>
  <c r="AF5" i="4"/>
  <c r="AC37" i="5" s="1"/>
  <c r="AC5" i="5" s="1"/>
  <c r="O7" i="4"/>
  <c r="O39" i="5" s="1"/>
  <c r="O23" i="5" s="1"/>
  <c r="AE7" i="4"/>
  <c r="AB39" i="5" s="1"/>
  <c r="AB7" i="5" s="1"/>
  <c r="K8" i="4"/>
  <c r="K40" i="5" s="1"/>
  <c r="K24" i="5" s="1"/>
  <c r="AA8" i="4"/>
  <c r="X40" i="5" s="1"/>
  <c r="X24" i="5" s="1"/>
  <c r="K9" i="4"/>
  <c r="K41" i="5" s="1"/>
  <c r="K9" i="5" s="1"/>
  <c r="AE9" i="4"/>
  <c r="AB41" i="5" s="1"/>
  <c r="AB25" i="5" s="1"/>
  <c r="G11" i="4"/>
  <c r="G43" i="5" s="1"/>
  <c r="G11" i="5" s="1"/>
  <c r="AD11" i="4"/>
  <c r="AA43" i="5" s="1"/>
  <c r="AA11" i="5" s="1"/>
  <c r="AC11" i="4"/>
  <c r="Z43" i="5" s="1"/>
  <c r="Z27" i="5" s="1"/>
  <c r="AJ11" i="4"/>
  <c r="AG43" i="5" s="1"/>
  <c r="AG11" i="5" s="1"/>
  <c r="AB11" i="4"/>
  <c r="Y43" i="5" s="1"/>
  <c r="Y11" i="5" s="1"/>
  <c r="AI11" i="4"/>
  <c r="AF43" i="5" s="1"/>
  <c r="AF11" i="5" s="1"/>
  <c r="AA11" i="4"/>
  <c r="X43" i="5" s="1"/>
  <c r="X27" i="5" s="1"/>
  <c r="AH11" i="4"/>
  <c r="AE43" i="5" s="1"/>
  <c r="AE11" i="5" s="1"/>
  <c r="Z11" i="4"/>
  <c r="W43" i="5" s="1"/>
  <c r="W11" i="5" s="1"/>
  <c r="AF11" i="4"/>
  <c r="AC43" i="5" s="1"/>
  <c r="AC27" i="5" s="1"/>
  <c r="L2" i="4"/>
  <c r="L34" i="5" s="1"/>
  <c r="V14" i="4"/>
  <c r="R2" i="4"/>
  <c r="R34" i="5" s="1"/>
  <c r="R18" i="5" s="1"/>
  <c r="J2" i="4"/>
  <c r="J34" i="5" s="1"/>
  <c r="J18" i="5" s="1"/>
  <c r="P2" i="4"/>
  <c r="P34" i="5" s="1"/>
  <c r="H2" i="4"/>
  <c r="H34" i="5" s="1"/>
  <c r="H18" i="5" s="1"/>
  <c r="AG3" i="4"/>
  <c r="AD35" i="5" s="1"/>
  <c r="AD19" i="5" s="1"/>
  <c r="M4" i="4"/>
  <c r="M36" i="5" s="1"/>
  <c r="M20" i="5" s="1"/>
  <c r="I5" i="4"/>
  <c r="I37" i="5" s="1"/>
  <c r="I5" i="5" s="1"/>
  <c r="L6" i="4"/>
  <c r="L38" i="5" s="1"/>
  <c r="L6" i="5" s="1"/>
  <c r="R6" i="4"/>
  <c r="R38" i="5" s="1"/>
  <c r="R6" i="5" s="1"/>
  <c r="J6" i="4"/>
  <c r="J38" i="5" s="1"/>
  <c r="J22" i="5" s="1"/>
  <c r="P6" i="4"/>
  <c r="P38" i="5" s="1"/>
  <c r="P6" i="5" s="1"/>
  <c r="H6" i="4"/>
  <c r="H38" i="5" s="1"/>
  <c r="H22" i="5" s="1"/>
  <c r="AG7" i="4"/>
  <c r="AD39" i="5" s="1"/>
  <c r="AD23" i="5" s="1"/>
  <c r="M8" i="4"/>
  <c r="M40" i="5" s="1"/>
  <c r="M24" i="5" s="1"/>
  <c r="AC8" i="4"/>
  <c r="Z40" i="5" s="1"/>
  <c r="Z24" i="5" s="1"/>
  <c r="M9" i="4"/>
  <c r="M41" i="5" s="1"/>
  <c r="M9" i="5" s="1"/>
  <c r="L10" i="4"/>
  <c r="L42" i="5" s="1"/>
  <c r="L26" i="5" s="1"/>
  <c r="R10" i="4"/>
  <c r="R42" i="5" s="1"/>
  <c r="R26" i="5" s="1"/>
  <c r="J10" i="4"/>
  <c r="J42" i="5" s="1"/>
  <c r="J10" i="5" s="1"/>
  <c r="Q10" i="4"/>
  <c r="Q42" i="5" s="1"/>
  <c r="Q26" i="5" s="1"/>
  <c r="I10" i="4"/>
  <c r="I42" i="5" s="1"/>
  <c r="I10" i="5" s="1"/>
  <c r="P10" i="4"/>
  <c r="P42" i="5" s="1"/>
  <c r="P10" i="5" s="1"/>
  <c r="H10" i="4"/>
  <c r="H42" i="5" s="1"/>
  <c r="H10" i="5" s="1"/>
  <c r="M11" i="4"/>
  <c r="M43" i="5" s="1"/>
  <c r="M27" i="5" s="1"/>
  <c r="Y13" i="4"/>
  <c r="V45" i="5" s="1"/>
  <c r="L12" i="4"/>
  <c r="L44" i="5" s="1"/>
  <c r="L28" i="5" s="1"/>
  <c r="K12" i="4"/>
  <c r="K44" i="5" s="1"/>
  <c r="K28" i="5" s="1"/>
  <c r="R12" i="4"/>
  <c r="R44" i="5" s="1"/>
  <c r="R12" i="5" s="1"/>
  <c r="J12" i="4"/>
  <c r="J44" i="5" s="1"/>
  <c r="J12" i="5" s="1"/>
  <c r="Q12" i="4"/>
  <c r="Q44" i="5" s="1"/>
  <c r="Q12" i="5" s="1"/>
  <c r="I12" i="4"/>
  <c r="I44" i="5" s="1"/>
  <c r="I12" i="5" s="1"/>
  <c r="P12" i="4"/>
  <c r="P44" i="5" s="1"/>
  <c r="P28" i="5" s="1"/>
  <c r="H12" i="4"/>
  <c r="H44" i="5" s="1"/>
  <c r="H12" i="5" s="1"/>
  <c r="G2" i="4"/>
  <c r="G34" i="5" s="1"/>
  <c r="AD2" i="4"/>
  <c r="AA34" i="5" s="1"/>
  <c r="AJ2" i="4"/>
  <c r="AG34" i="5" s="1"/>
  <c r="AG2" i="5" s="1"/>
  <c r="AB2" i="4"/>
  <c r="Y34" i="5" s="1"/>
  <c r="Y2" i="5" s="1"/>
  <c r="AN14" i="4"/>
  <c r="AH2" i="4"/>
  <c r="AE34" i="5" s="1"/>
  <c r="Z2" i="4"/>
  <c r="W34" i="5" s="1"/>
  <c r="AF2" i="4"/>
  <c r="AC34" i="5" s="1"/>
  <c r="AC2" i="5" s="1"/>
  <c r="AI3" i="4"/>
  <c r="AF35" i="5" s="1"/>
  <c r="AF3" i="5" s="1"/>
  <c r="O4" i="4"/>
  <c r="O36" i="5" s="1"/>
  <c r="O4" i="5" s="1"/>
  <c r="AE4" i="4"/>
  <c r="AB36" i="5" s="1"/>
  <c r="AB20" i="5" s="1"/>
  <c r="K5" i="4"/>
  <c r="K37" i="5" s="1"/>
  <c r="K21" i="5" s="1"/>
  <c r="G6" i="4"/>
  <c r="G38" i="5" s="1"/>
  <c r="AD6" i="4"/>
  <c r="AA38" i="5" s="1"/>
  <c r="AA22" i="5" s="1"/>
  <c r="AJ6" i="4"/>
  <c r="AG38" i="5" s="1"/>
  <c r="AG22" i="5" s="1"/>
  <c r="AB6" i="4"/>
  <c r="Y38" i="5" s="1"/>
  <c r="Y22" i="5" s="1"/>
  <c r="AH6" i="4"/>
  <c r="AE38" i="5" s="1"/>
  <c r="AE22" i="5" s="1"/>
  <c r="Z6" i="4"/>
  <c r="W38" i="5" s="1"/>
  <c r="W22" i="5" s="1"/>
  <c r="AF6" i="4"/>
  <c r="AC38" i="5" s="1"/>
  <c r="AC22" i="5" s="1"/>
  <c r="AI7" i="4"/>
  <c r="AF39" i="5" s="1"/>
  <c r="AF7" i="5" s="1"/>
  <c r="O8" i="4"/>
  <c r="O40" i="5" s="1"/>
  <c r="O24" i="5" s="1"/>
  <c r="AE8" i="4"/>
  <c r="AB40" i="5" s="1"/>
  <c r="AB8" i="5" s="1"/>
  <c r="O9" i="4"/>
  <c r="O41" i="5" s="1"/>
  <c r="O25" i="5" s="1"/>
  <c r="G12" i="4"/>
  <c r="G44" i="5" s="1"/>
  <c r="G28" i="5" s="1"/>
  <c r="AD12" i="4"/>
  <c r="AA44" i="5" s="1"/>
  <c r="AA28" i="5" s="1"/>
  <c r="AC12" i="4"/>
  <c r="Z44" i="5" s="1"/>
  <c r="Z28" i="5" s="1"/>
  <c r="AJ12" i="4"/>
  <c r="AG44" i="5" s="1"/>
  <c r="AG12" i="5" s="1"/>
  <c r="AB12" i="4"/>
  <c r="Y44" i="5" s="1"/>
  <c r="Y28" i="5" s="1"/>
  <c r="AI12" i="4"/>
  <c r="AF44" i="5" s="1"/>
  <c r="AF12" i="5" s="1"/>
  <c r="AA12" i="4"/>
  <c r="X44" i="5" s="1"/>
  <c r="X12" i="5" s="1"/>
  <c r="AH12" i="4"/>
  <c r="AE44" i="5" s="1"/>
  <c r="AE12" i="5" s="1"/>
  <c r="Z12" i="4"/>
  <c r="W44" i="5" s="1"/>
  <c r="W12" i="5" s="1"/>
  <c r="AF12" i="4"/>
  <c r="AC44" i="5" s="1"/>
  <c r="AC28" i="5" s="1"/>
  <c r="AE13" i="4"/>
  <c r="AB45" i="5" s="1"/>
  <c r="AB13" i="5" s="1"/>
  <c r="L3" i="4"/>
  <c r="L35" i="5" s="1"/>
  <c r="L19" i="5" s="1"/>
  <c r="R3" i="4"/>
  <c r="R35" i="5" s="1"/>
  <c r="R19" i="5" s="1"/>
  <c r="J3" i="4"/>
  <c r="J35" i="5" s="1"/>
  <c r="J19" i="5" s="1"/>
  <c r="P3" i="4"/>
  <c r="P35" i="5" s="1"/>
  <c r="P3" i="5" s="1"/>
  <c r="H3" i="4"/>
  <c r="H35" i="5" s="1"/>
  <c r="H19" i="5" s="1"/>
  <c r="Q4" i="4"/>
  <c r="Q36" i="5" s="1"/>
  <c r="Q4" i="5" s="1"/>
  <c r="M5" i="4"/>
  <c r="M37" i="5" s="1"/>
  <c r="M21" i="5" s="1"/>
  <c r="L7" i="4"/>
  <c r="L39" i="5" s="1"/>
  <c r="L7" i="5" s="1"/>
  <c r="R7" i="4"/>
  <c r="R39" i="5" s="1"/>
  <c r="R7" i="5" s="1"/>
  <c r="J7" i="4"/>
  <c r="J39" i="5" s="1"/>
  <c r="J23" i="5" s="1"/>
  <c r="P7" i="4"/>
  <c r="P39" i="5" s="1"/>
  <c r="P23" i="5" s="1"/>
  <c r="H7" i="4"/>
  <c r="H39" i="5" s="1"/>
  <c r="H23" i="5" s="1"/>
  <c r="Q8" i="4"/>
  <c r="Q40" i="5" s="1"/>
  <c r="Q8" i="5" s="1"/>
  <c r="AG8" i="4"/>
  <c r="AD40" i="5" s="1"/>
  <c r="AD24" i="5" s="1"/>
  <c r="AD9" i="4"/>
  <c r="AA41" i="5" s="1"/>
  <c r="AA9" i="5" s="1"/>
  <c r="AJ9" i="4"/>
  <c r="AG41" i="5" s="1"/>
  <c r="AG25" i="5" s="1"/>
  <c r="AB9" i="4"/>
  <c r="Y41" i="5" s="1"/>
  <c r="Y25" i="5" s="1"/>
  <c r="AI9" i="4"/>
  <c r="AF41" i="5" s="1"/>
  <c r="AF9" i="5" s="1"/>
  <c r="AA9" i="4"/>
  <c r="X41" i="5" s="1"/>
  <c r="X9" i="5" s="1"/>
  <c r="AH9" i="4"/>
  <c r="AE41" i="5" s="1"/>
  <c r="AE9" i="5" s="1"/>
  <c r="Z9" i="4"/>
  <c r="W41" i="5" s="1"/>
  <c r="W9" i="5" s="1"/>
  <c r="AF9" i="4"/>
  <c r="AC41" i="5" s="1"/>
  <c r="AC9" i="5" s="1"/>
  <c r="L11" i="4"/>
  <c r="L43" i="5" s="1"/>
  <c r="L27" i="5" s="1"/>
  <c r="K11" i="4"/>
  <c r="K43" i="5" s="1"/>
  <c r="K11" i="5" s="1"/>
  <c r="R11" i="4"/>
  <c r="R43" i="5" s="1"/>
  <c r="R11" i="5" s="1"/>
  <c r="J11" i="4"/>
  <c r="J43" i="5" s="1"/>
  <c r="J27" i="5" s="1"/>
  <c r="Q11" i="4"/>
  <c r="Q43" i="5" s="1"/>
  <c r="Q27" i="5" s="1"/>
  <c r="I11" i="4"/>
  <c r="I43" i="5" s="1"/>
  <c r="I27" i="5" s="1"/>
  <c r="P11" i="4"/>
  <c r="P43" i="5" s="1"/>
  <c r="P11" i="5" s="1"/>
  <c r="H11" i="4"/>
  <c r="H43" i="5" s="1"/>
  <c r="H11" i="5" s="1"/>
  <c r="M12" i="4"/>
  <c r="M44" i="5" s="1"/>
  <c r="M28" i="5" s="1"/>
  <c r="AG13" i="4"/>
  <c r="AD45" i="5" s="1"/>
  <c r="AD29" i="5" s="1"/>
  <c r="O28" i="5" l="1"/>
  <c r="K2" i="4"/>
  <c r="K34" i="5" s="1"/>
  <c r="K2" i="5" s="1"/>
  <c r="K10" i="4"/>
  <c r="K42" i="5" s="1"/>
  <c r="K26" i="5" s="1"/>
  <c r="K26" i="7" s="1"/>
  <c r="K7" i="4"/>
  <c r="K39" i="5" s="1"/>
  <c r="K7" i="5" s="1"/>
  <c r="K7" i="7" s="1"/>
  <c r="M7" i="4"/>
  <c r="M39" i="5" s="1"/>
  <c r="M23" i="5" s="1"/>
  <c r="Q23" i="5"/>
  <c r="AD11" i="5"/>
  <c r="O11" i="7" s="1"/>
  <c r="Z23" i="5"/>
  <c r="O26" i="5"/>
  <c r="L7" i="7"/>
  <c r="S17" i="4"/>
  <c r="Q2" i="5"/>
  <c r="N8" i="4"/>
  <c r="N40" i="5" s="1"/>
  <c r="N8" i="5" s="1"/>
  <c r="N8" i="7" s="1"/>
  <c r="N7" i="4"/>
  <c r="N39" i="5" s="1"/>
  <c r="N23" i="5" s="1"/>
  <c r="N3" i="4"/>
  <c r="N35" i="5" s="1"/>
  <c r="N19" i="5" s="1"/>
  <c r="N19" i="7" s="1"/>
  <c r="N13" i="4"/>
  <c r="N45" i="5" s="1"/>
  <c r="N13" i="5" s="1"/>
  <c r="N12" i="4"/>
  <c r="N44" i="5" s="1"/>
  <c r="N12" i="5" s="1"/>
  <c r="N6" i="4"/>
  <c r="N38" i="5" s="1"/>
  <c r="N6" i="5" s="1"/>
  <c r="N2" i="4"/>
  <c r="N34" i="5" s="1"/>
  <c r="N4" i="4"/>
  <c r="N36" i="5" s="1"/>
  <c r="N20" i="5" s="1"/>
  <c r="N10" i="4"/>
  <c r="N42" i="5" s="1"/>
  <c r="N10" i="5" s="1"/>
  <c r="N5" i="4"/>
  <c r="N37" i="5" s="1"/>
  <c r="N5" i="5" s="1"/>
  <c r="N5" i="7" s="1"/>
  <c r="N9" i="4"/>
  <c r="N41" i="5" s="1"/>
  <c r="N25" i="5" s="1"/>
  <c r="Z9" i="5"/>
  <c r="K9" i="7" s="1"/>
  <c r="N11" i="4"/>
  <c r="N43" i="5" s="1"/>
  <c r="N11" i="5" s="1"/>
  <c r="H10" i="7"/>
  <c r="AD25" i="5"/>
  <c r="O25" i="7" s="1"/>
  <c r="P23" i="7"/>
  <c r="Z5" i="5"/>
  <c r="I22" i="5"/>
  <c r="I22" i="7" s="1"/>
  <c r="K3" i="4"/>
  <c r="K35" i="5" s="1"/>
  <c r="K3" i="5" s="1"/>
  <c r="AF22" i="5"/>
  <c r="K21" i="7"/>
  <c r="J10" i="7"/>
  <c r="I13" i="7"/>
  <c r="Q22" i="5"/>
  <c r="Q21" i="5"/>
  <c r="Q26" i="7"/>
  <c r="L26" i="7"/>
  <c r="O27" i="5"/>
  <c r="O27" i="7" s="1"/>
  <c r="AB10" i="5"/>
  <c r="M27" i="7"/>
  <c r="AB21" i="5"/>
  <c r="M21" i="7" s="1"/>
  <c r="AD4" i="5"/>
  <c r="O4" i="7" s="1"/>
  <c r="P3" i="7"/>
  <c r="Z3" i="5"/>
  <c r="M3" i="5"/>
  <c r="M3" i="7" s="1"/>
  <c r="Q19" i="5"/>
  <c r="I3" i="5"/>
  <c r="H23" i="7"/>
  <c r="H19" i="7"/>
  <c r="AF2" i="5"/>
  <c r="V2" i="5"/>
  <c r="O13" i="5"/>
  <c r="R11" i="7"/>
  <c r="AG13" i="5"/>
  <c r="R13" i="7" s="1"/>
  <c r="R29" i="5"/>
  <c r="R29" i="7" s="1"/>
  <c r="AB12" i="5"/>
  <c r="Q5" i="7"/>
  <c r="AD28" i="5"/>
  <c r="O28" i="7" s="1"/>
  <c r="R12" i="7"/>
  <c r="Q13" i="7"/>
  <c r="Q12" i="7"/>
  <c r="M28" i="7"/>
  <c r="Q28" i="5"/>
  <c r="AF4" i="5"/>
  <c r="Q4" i="7" s="1"/>
  <c r="AF28" i="5"/>
  <c r="Q29" i="5"/>
  <c r="AF29" i="5"/>
  <c r="R28" i="5"/>
  <c r="AG28" i="5"/>
  <c r="H12" i="7"/>
  <c r="P11" i="7"/>
  <c r="I27" i="7"/>
  <c r="P29" i="7"/>
  <c r="P12" i="5"/>
  <c r="P12" i="7" s="1"/>
  <c r="AF27" i="5"/>
  <c r="Q27" i="7" s="1"/>
  <c r="AE28" i="5"/>
  <c r="P28" i="7" s="1"/>
  <c r="AG27" i="5"/>
  <c r="P27" i="5"/>
  <c r="P13" i="5"/>
  <c r="AE27" i="5"/>
  <c r="AE13" i="5"/>
  <c r="R27" i="5"/>
  <c r="Q11" i="5"/>
  <c r="Q11" i="7" s="1"/>
  <c r="AD26" i="5"/>
  <c r="AG10" i="5"/>
  <c r="O6" i="7"/>
  <c r="R26" i="7"/>
  <c r="O5" i="5"/>
  <c r="O5" i="7" s="1"/>
  <c r="AF10" i="5"/>
  <c r="R10" i="5"/>
  <c r="O29" i="7"/>
  <c r="AE10" i="5"/>
  <c r="P10" i="7" s="1"/>
  <c r="I10" i="7"/>
  <c r="AD13" i="5"/>
  <c r="O22" i="5"/>
  <c r="Q10" i="5"/>
  <c r="AD21" i="5"/>
  <c r="O21" i="7" s="1"/>
  <c r="AD22" i="5"/>
  <c r="O10" i="7"/>
  <c r="O12" i="7"/>
  <c r="P26" i="5"/>
  <c r="P26" i="7" s="1"/>
  <c r="P9" i="7"/>
  <c r="Q9" i="7"/>
  <c r="R25" i="7"/>
  <c r="AC11" i="5"/>
  <c r="AF25" i="5"/>
  <c r="O9" i="5"/>
  <c r="O9" i="7" s="1"/>
  <c r="AC10" i="5"/>
  <c r="AC12" i="5"/>
  <c r="AC25" i="5"/>
  <c r="R9" i="5"/>
  <c r="AE25" i="5"/>
  <c r="AG9" i="5"/>
  <c r="AC13" i="5"/>
  <c r="Q25" i="5"/>
  <c r="P25" i="5"/>
  <c r="M20" i="7"/>
  <c r="O24" i="7"/>
  <c r="O8" i="5"/>
  <c r="AF8" i="5"/>
  <c r="Q8" i="7" s="1"/>
  <c r="AB24" i="5"/>
  <c r="M24" i="7" s="1"/>
  <c r="M8" i="5"/>
  <c r="M8" i="7" s="1"/>
  <c r="M12" i="5"/>
  <c r="P24" i="5"/>
  <c r="P24" i="7" s="1"/>
  <c r="M11" i="5"/>
  <c r="M6" i="5"/>
  <c r="AE8" i="5"/>
  <c r="P8" i="7" s="1"/>
  <c r="M10" i="4"/>
  <c r="M42" i="5" s="1"/>
  <c r="M13" i="4"/>
  <c r="M45" i="5" s="1"/>
  <c r="Q24" i="5"/>
  <c r="Q24" i="7" s="1"/>
  <c r="AG8" i="5"/>
  <c r="R8" i="7" s="1"/>
  <c r="R24" i="5"/>
  <c r="R24" i="7" s="1"/>
  <c r="AC24" i="5"/>
  <c r="AB11" i="5"/>
  <c r="AD8" i="5"/>
  <c r="AB29" i="5"/>
  <c r="M25" i="5"/>
  <c r="M25" i="7" s="1"/>
  <c r="AB9" i="5"/>
  <c r="M9" i="7" s="1"/>
  <c r="L8" i="5"/>
  <c r="O23" i="7"/>
  <c r="L28" i="7"/>
  <c r="L13" i="5"/>
  <c r="L13" i="7" s="1"/>
  <c r="AC23" i="5"/>
  <c r="AD7" i="5"/>
  <c r="R23" i="5"/>
  <c r="R23" i="7" s="1"/>
  <c r="AB23" i="5"/>
  <c r="O7" i="5"/>
  <c r="AA8" i="5"/>
  <c r="L12" i="5"/>
  <c r="L24" i="7"/>
  <c r="AA25" i="5"/>
  <c r="L25" i="7" s="1"/>
  <c r="AE7" i="5"/>
  <c r="L11" i="5"/>
  <c r="L11" i="7" s="1"/>
  <c r="AA23" i="5"/>
  <c r="L10" i="5"/>
  <c r="Q7" i="7"/>
  <c r="L9" i="5"/>
  <c r="L9" i="7" s="1"/>
  <c r="AA10" i="5"/>
  <c r="AA12" i="5"/>
  <c r="AA29" i="5"/>
  <c r="L29" i="7" s="1"/>
  <c r="AF23" i="5"/>
  <c r="P7" i="5"/>
  <c r="AG7" i="5"/>
  <c r="R7" i="7" s="1"/>
  <c r="AA27" i="5"/>
  <c r="L27" i="7" s="1"/>
  <c r="L23" i="5"/>
  <c r="K13" i="7"/>
  <c r="Z22" i="5"/>
  <c r="Q6" i="7"/>
  <c r="X6" i="5"/>
  <c r="I6" i="7" s="1"/>
  <c r="AC6" i="5"/>
  <c r="H22" i="7"/>
  <c r="K8" i="5"/>
  <c r="Z12" i="5"/>
  <c r="K25" i="5"/>
  <c r="K25" i="7" s="1"/>
  <c r="K24" i="7"/>
  <c r="Z8" i="5"/>
  <c r="K28" i="7"/>
  <c r="K6" i="5"/>
  <c r="K6" i="7" s="1"/>
  <c r="K22" i="5"/>
  <c r="L22" i="5"/>
  <c r="L22" i="7" s="1"/>
  <c r="R22" i="5"/>
  <c r="R22" i="7" s="1"/>
  <c r="Z11" i="5"/>
  <c r="AA6" i="5"/>
  <c r="L6" i="7" s="1"/>
  <c r="AG6" i="5"/>
  <c r="R6" i="7" s="1"/>
  <c r="Z10" i="5"/>
  <c r="Z20" i="5"/>
  <c r="P22" i="5"/>
  <c r="P22" i="7" s="1"/>
  <c r="K29" i="5"/>
  <c r="K4" i="7"/>
  <c r="K27" i="5"/>
  <c r="K27" i="7" s="1"/>
  <c r="K12" i="5"/>
  <c r="M22" i="7"/>
  <c r="Z29" i="5"/>
  <c r="AB6" i="5"/>
  <c r="Z46" i="5"/>
  <c r="AE6" i="5"/>
  <c r="P6" i="7" s="1"/>
  <c r="Y23" i="5"/>
  <c r="J23" i="7" s="1"/>
  <c r="AH37" i="5"/>
  <c r="R5" i="7"/>
  <c r="J25" i="7"/>
  <c r="J22" i="7"/>
  <c r="Y26" i="5"/>
  <c r="J6" i="5"/>
  <c r="J21" i="5"/>
  <c r="J21" i="7" s="1"/>
  <c r="J29" i="5"/>
  <c r="J29" i="7" s="1"/>
  <c r="P21" i="5"/>
  <c r="P21" i="7" s="1"/>
  <c r="J28" i="5"/>
  <c r="J28" i="7" s="1"/>
  <c r="J11" i="5"/>
  <c r="J11" i="7" s="1"/>
  <c r="M5" i="5"/>
  <c r="M5" i="7" s="1"/>
  <c r="Y27" i="5"/>
  <c r="J27" i="7" s="1"/>
  <c r="L21" i="5"/>
  <c r="L21" i="7" s="1"/>
  <c r="K5" i="5"/>
  <c r="Y24" i="5"/>
  <c r="J24" i="7" s="1"/>
  <c r="AC21" i="5"/>
  <c r="J8" i="5"/>
  <c r="J8" i="7" s="1"/>
  <c r="AG21" i="5"/>
  <c r="V21" i="5"/>
  <c r="R21" i="5"/>
  <c r="Y6" i="5"/>
  <c r="J9" i="5"/>
  <c r="Y5" i="5"/>
  <c r="J5" i="7" s="1"/>
  <c r="J7" i="5"/>
  <c r="J7" i="7" s="1"/>
  <c r="J26" i="5"/>
  <c r="AE5" i="5"/>
  <c r="P5" i="7" s="1"/>
  <c r="Y12" i="5"/>
  <c r="J12" i="7" s="1"/>
  <c r="AA5" i="5"/>
  <c r="L5" i="7" s="1"/>
  <c r="Y9" i="5"/>
  <c r="AF21" i="5"/>
  <c r="Y13" i="5"/>
  <c r="J13" i="7" s="1"/>
  <c r="X5" i="5"/>
  <c r="I5" i="7" s="1"/>
  <c r="I7" i="5"/>
  <c r="I7" i="7" s="1"/>
  <c r="P4" i="5"/>
  <c r="P4" i="7" s="1"/>
  <c r="X25" i="5"/>
  <c r="I25" i="7" s="1"/>
  <c r="I12" i="7"/>
  <c r="R4" i="7"/>
  <c r="AA46" i="5"/>
  <c r="I11" i="5"/>
  <c r="X26" i="5"/>
  <c r="J4" i="5"/>
  <c r="J4" i="7" s="1"/>
  <c r="Y20" i="5"/>
  <c r="AB4" i="5"/>
  <c r="I24" i="5"/>
  <c r="I24" i="7" s="1"/>
  <c r="L20" i="5"/>
  <c r="L20" i="7" s="1"/>
  <c r="AC20" i="5"/>
  <c r="O20" i="5"/>
  <c r="O20" i="7" s="1"/>
  <c r="I21" i="5"/>
  <c r="I21" i="7" s="1"/>
  <c r="X28" i="5"/>
  <c r="I29" i="5"/>
  <c r="I28" i="5"/>
  <c r="Q20" i="5"/>
  <c r="Q20" i="7" s="1"/>
  <c r="AG20" i="5"/>
  <c r="X11" i="5"/>
  <c r="AA4" i="5"/>
  <c r="L4" i="7" s="1"/>
  <c r="X29" i="5"/>
  <c r="AH45" i="5"/>
  <c r="X8" i="5"/>
  <c r="I8" i="7" s="1"/>
  <c r="I20" i="5"/>
  <c r="I20" i="7" s="1"/>
  <c r="M4" i="5"/>
  <c r="R20" i="5"/>
  <c r="I26" i="5"/>
  <c r="I9" i="5"/>
  <c r="I9" i="7" s="1"/>
  <c r="X4" i="5"/>
  <c r="I4" i="7" s="1"/>
  <c r="X23" i="5"/>
  <c r="I23" i="7" s="1"/>
  <c r="AE20" i="5"/>
  <c r="P20" i="7" s="1"/>
  <c r="K20" i="5"/>
  <c r="H29" i="7"/>
  <c r="Q46" i="5"/>
  <c r="R19" i="7"/>
  <c r="I46" i="5"/>
  <c r="H11" i="7"/>
  <c r="H4" i="7"/>
  <c r="H26" i="5"/>
  <c r="H3" i="5"/>
  <c r="W27" i="5"/>
  <c r="Y19" i="5"/>
  <c r="J19" i="7" s="1"/>
  <c r="H13" i="5"/>
  <c r="W20" i="5"/>
  <c r="W24" i="5"/>
  <c r="AF19" i="5"/>
  <c r="AD46" i="5"/>
  <c r="O46" i="5"/>
  <c r="AG3" i="5"/>
  <c r="W46" i="5"/>
  <c r="AE46" i="5"/>
  <c r="AF46" i="5"/>
  <c r="L3" i="5"/>
  <c r="L3" i="7" s="1"/>
  <c r="AE19" i="5"/>
  <c r="H5" i="5"/>
  <c r="W3" i="5"/>
  <c r="H27" i="5"/>
  <c r="W26" i="5"/>
  <c r="P46" i="5"/>
  <c r="Y46" i="5"/>
  <c r="AC3" i="5"/>
  <c r="Q3" i="7"/>
  <c r="AA19" i="5"/>
  <c r="L19" i="7" s="1"/>
  <c r="W7" i="5"/>
  <c r="X46" i="5"/>
  <c r="R3" i="5"/>
  <c r="AB19" i="5"/>
  <c r="M19" i="7" s="1"/>
  <c r="H20" i="5"/>
  <c r="W6" i="5"/>
  <c r="J3" i="5"/>
  <c r="J3" i="7" s="1"/>
  <c r="AH41" i="5"/>
  <c r="H6" i="5"/>
  <c r="W5" i="5"/>
  <c r="H9" i="5"/>
  <c r="H9" i="7" s="1"/>
  <c r="H8" i="5"/>
  <c r="H8" i="7" s="1"/>
  <c r="W25" i="5"/>
  <c r="H25" i="7" s="1"/>
  <c r="W13" i="5"/>
  <c r="H28" i="5"/>
  <c r="W21" i="5"/>
  <c r="H21" i="7" s="1"/>
  <c r="P19" i="5"/>
  <c r="L46" i="5"/>
  <c r="H7" i="5"/>
  <c r="AH36" i="5"/>
  <c r="X3" i="5"/>
  <c r="AD3" i="5"/>
  <c r="O3" i="7" s="1"/>
  <c r="I19" i="7"/>
  <c r="W28" i="5"/>
  <c r="AH44" i="5"/>
  <c r="O19" i="5"/>
  <c r="O19" i="7" s="1"/>
  <c r="AG46" i="5"/>
  <c r="AH38" i="5"/>
  <c r="G21" i="5"/>
  <c r="G29" i="5"/>
  <c r="AB46" i="5"/>
  <c r="AG18" i="5"/>
  <c r="R18" i="7" s="1"/>
  <c r="V22" i="5"/>
  <c r="V25" i="5"/>
  <c r="G25" i="7" s="1"/>
  <c r="Y18" i="5"/>
  <c r="J18" i="7" s="1"/>
  <c r="AH43" i="5"/>
  <c r="V4" i="5"/>
  <c r="G4" i="7" s="1"/>
  <c r="G10" i="5"/>
  <c r="G7" i="5"/>
  <c r="V11" i="5"/>
  <c r="G11" i="7" s="1"/>
  <c r="G5" i="5"/>
  <c r="O18" i="7"/>
  <c r="AD2" i="5"/>
  <c r="O2" i="5"/>
  <c r="AA2" i="5"/>
  <c r="G8" i="5"/>
  <c r="R2" i="5"/>
  <c r="R2" i="7" s="1"/>
  <c r="R46" i="5"/>
  <c r="V46" i="5"/>
  <c r="V10" i="5"/>
  <c r="AA18" i="5"/>
  <c r="G23" i="5"/>
  <c r="G23" i="7" s="1"/>
  <c r="AC46" i="5"/>
  <c r="M2" i="7"/>
  <c r="G18" i="5"/>
  <c r="G18" i="7" s="1"/>
  <c r="AH42" i="5"/>
  <c r="G2" i="5"/>
  <c r="G19" i="5"/>
  <c r="X2" i="5"/>
  <c r="AH35" i="5"/>
  <c r="J2" i="5"/>
  <c r="J2" i="7" s="1"/>
  <c r="P2" i="5"/>
  <c r="V29" i="5"/>
  <c r="I2" i="5"/>
  <c r="V19" i="5"/>
  <c r="Z2" i="5"/>
  <c r="V8" i="5"/>
  <c r="AH40" i="5"/>
  <c r="G20" i="5"/>
  <c r="G20" i="7" s="1"/>
  <c r="L2" i="5"/>
  <c r="G27" i="5"/>
  <c r="G27" i="7" s="1"/>
  <c r="W2" i="5"/>
  <c r="G6" i="5"/>
  <c r="G6" i="7" s="1"/>
  <c r="M18" i="5"/>
  <c r="V28" i="5"/>
  <c r="G28" i="7" s="1"/>
  <c r="J46" i="5"/>
  <c r="AE18" i="5"/>
  <c r="V13" i="5"/>
  <c r="G13" i="7" s="1"/>
  <c r="V3" i="5"/>
  <c r="G3" i="7" s="1"/>
  <c r="H2" i="5"/>
  <c r="AH34" i="5"/>
  <c r="AE2" i="5"/>
  <c r="V7" i="5"/>
  <c r="G9" i="5"/>
  <c r="G9" i="7" s="1"/>
  <c r="H46" i="5"/>
  <c r="G46" i="5"/>
  <c r="AH39" i="5"/>
  <c r="L18" i="5"/>
  <c r="AB18" i="5"/>
  <c r="AC18" i="5"/>
  <c r="G22" i="5"/>
  <c r="Q18" i="7"/>
  <c r="G26" i="7"/>
  <c r="G24" i="7"/>
  <c r="G12" i="5"/>
  <c r="G12" i="7" s="1"/>
  <c r="I18" i="7"/>
  <c r="W18" i="5"/>
  <c r="H18" i="7" s="1"/>
  <c r="P18" i="5"/>
  <c r="S78" i="5"/>
  <c r="S62" i="5"/>
  <c r="Z37" i="4"/>
  <c r="Z42" i="4"/>
  <c r="AC14" i="4"/>
  <c r="AC15" i="4" s="1"/>
  <c r="AK6" i="4"/>
  <c r="AL6" i="4" s="1"/>
  <c r="Z43" i="4"/>
  <c r="Z41" i="4"/>
  <c r="AA14" i="4"/>
  <c r="AA15" i="4" s="1"/>
  <c r="AK12" i="4"/>
  <c r="AL12" i="4" s="1"/>
  <c r="AK11" i="4"/>
  <c r="AL11" i="4" s="1"/>
  <c r="AK10" i="4"/>
  <c r="AL10" i="4" s="1"/>
  <c r="AI14" i="4"/>
  <c r="AI15" i="4" s="1"/>
  <c r="Z44" i="4"/>
  <c r="Q14" i="4"/>
  <c r="Q15" i="4" s="1"/>
  <c r="H49" i="4"/>
  <c r="I14" i="4"/>
  <c r="I15" i="4" s="1"/>
  <c r="P14" i="3"/>
  <c r="O14" i="3"/>
  <c r="AH62" i="5"/>
  <c r="AH78" i="5"/>
  <c r="AK9" i="4"/>
  <c r="AL9" i="4" s="1"/>
  <c r="Z40" i="4"/>
  <c r="Z14" i="4"/>
  <c r="Z15" i="4" s="1"/>
  <c r="AK5" i="4"/>
  <c r="AL5" i="4" s="1"/>
  <c r="Z39" i="4"/>
  <c r="AK8" i="4"/>
  <c r="AL8" i="4" s="1"/>
  <c r="Z36" i="4"/>
  <c r="AH14" i="4"/>
  <c r="AH15" i="4" s="1"/>
  <c r="AK13" i="4"/>
  <c r="AL13" i="4" s="1"/>
  <c r="H47" i="4"/>
  <c r="L14" i="4"/>
  <c r="L15" i="4" s="1"/>
  <c r="AK7" i="4"/>
  <c r="AL7" i="4" s="1"/>
  <c r="AK3" i="4"/>
  <c r="AL3" i="4" s="1"/>
  <c r="J14" i="4"/>
  <c r="J15" i="4" s="1"/>
  <c r="Y14" i="4"/>
  <c r="Z46" i="4"/>
  <c r="AK2" i="4"/>
  <c r="AL2" i="4" s="1"/>
  <c r="AE14" i="4"/>
  <c r="AE15" i="4" s="1"/>
  <c r="Z45" i="4"/>
  <c r="AF14" i="4"/>
  <c r="AF15" i="4" s="1"/>
  <c r="R14" i="4"/>
  <c r="R15" i="4" s="1"/>
  <c r="Z38" i="4"/>
  <c r="AB14" i="4"/>
  <c r="AB15" i="4" s="1"/>
  <c r="AG14" i="4"/>
  <c r="AG15" i="4" s="1"/>
  <c r="AJ14" i="4"/>
  <c r="AJ15" i="4" s="1"/>
  <c r="H14" i="4"/>
  <c r="H15" i="4" s="1"/>
  <c r="Z49" i="4"/>
  <c r="O14" i="4"/>
  <c r="O15" i="4" s="1"/>
  <c r="G14" i="4"/>
  <c r="AD14" i="4"/>
  <c r="AD15" i="4" s="1"/>
  <c r="Z47" i="4"/>
  <c r="P14" i="4"/>
  <c r="P15" i="4" s="1"/>
  <c r="AK4" i="4"/>
  <c r="AL4" i="4" s="1"/>
  <c r="K10" i="5" l="1"/>
  <c r="S9" i="4"/>
  <c r="T9" i="4" s="1"/>
  <c r="K18" i="5"/>
  <c r="K18" i="7" s="1"/>
  <c r="H38" i="4"/>
  <c r="Q23" i="7"/>
  <c r="M7" i="5"/>
  <c r="M7" i="7" s="1"/>
  <c r="K2" i="7"/>
  <c r="K23" i="5"/>
  <c r="K23" i="7" s="1"/>
  <c r="S34" i="5"/>
  <c r="H36" i="4"/>
  <c r="H46" i="4"/>
  <c r="S6" i="4"/>
  <c r="T6" i="4" s="1"/>
  <c r="S11" i="4"/>
  <c r="T11" i="4" s="1"/>
  <c r="N12" i="7"/>
  <c r="M23" i="7"/>
  <c r="Q2" i="7"/>
  <c r="Q21" i="7"/>
  <c r="O26" i="7"/>
  <c r="S10" i="4"/>
  <c r="T10" i="4" s="1"/>
  <c r="S43" i="5"/>
  <c r="S8" i="4"/>
  <c r="T8" i="4" s="1"/>
  <c r="S7" i="4"/>
  <c r="T7" i="4" s="1"/>
  <c r="H40" i="4"/>
  <c r="S5" i="4"/>
  <c r="T5" i="4" s="1"/>
  <c r="H45" i="4"/>
  <c r="Q22" i="7"/>
  <c r="K5" i="7"/>
  <c r="K3" i="7"/>
  <c r="P19" i="7"/>
  <c r="S40" i="5"/>
  <c r="N24" i="5"/>
  <c r="S24" i="5" s="1"/>
  <c r="H42" i="4"/>
  <c r="K14" i="4"/>
  <c r="K15" i="4" s="1"/>
  <c r="N3" i="5"/>
  <c r="N3" i="7" s="1"/>
  <c r="S3" i="4"/>
  <c r="T3" i="4" s="1"/>
  <c r="O13" i="7"/>
  <c r="S41" i="5"/>
  <c r="S39" i="5"/>
  <c r="S35" i="5"/>
  <c r="N13" i="7"/>
  <c r="I26" i="7"/>
  <c r="N23" i="7"/>
  <c r="I3" i="7"/>
  <c r="S12" i="4"/>
  <c r="T12" i="4" s="1"/>
  <c r="H44" i="4"/>
  <c r="Q19" i="7"/>
  <c r="S42" i="5"/>
  <c r="N18" i="5"/>
  <c r="H37" i="4"/>
  <c r="S38" i="5"/>
  <c r="N7" i="5"/>
  <c r="N7" i="7" s="1"/>
  <c r="N26" i="5"/>
  <c r="N26" i="7" s="1"/>
  <c r="N21" i="5"/>
  <c r="N21" i="7" s="1"/>
  <c r="N10" i="7"/>
  <c r="N22" i="5"/>
  <c r="N22" i="7" s="1"/>
  <c r="S37" i="5"/>
  <c r="N6" i="7"/>
  <c r="N25" i="7"/>
  <c r="K19" i="5"/>
  <c r="K19" i="7" s="1"/>
  <c r="K46" i="5"/>
  <c r="N2" i="5"/>
  <c r="N2" i="7" s="1"/>
  <c r="S2" i="4"/>
  <c r="T2" i="4" s="1"/>
  <c r="G29" i="7"/>
  <c r="S44" i="5"/>
  <c r="N28" i="5"/>
  <c r="N28" i="7" s="1"/>
  <c r="N14" i="4"/>
  <c r="N15" i="4" s="1"/>
  <c r="N11" i="7"/>
  <c r="S45" i="5"/>
  <c r="N29" i="5"/>
  <c r="N29" i="7" s="1"/>
  <c r="N20" i="7"/>
  <c r="H39" i="4"/>
  <c r="S36" i="5"/>
  <c r="N46" i="5"/>
  <c r="N4" i="5"/>
  <c r="N4" i="7" s="1"/>
  <c r="N9" i="5"/>
  <c r="N9" i="7" s="1"/>
  <c r="S4" i="4"/>
  <c r="T4" i="4" s="1"/>
  <c r="N27" i="5"/>
  <c r="N27" i="7" s="1"/>
  <c r="AH22" i="5"/>
  <c r="Q14" i="5"/>
  <c r="O22" i="7"/>
  <c r="M12" i="7"/>
  <c r="G2" i="7"/>
  <c r="R27" i="7"/>
  <c r="S11" i="5"/>
  <c r="P27" i="7"/>
  <c r="AD14" i="5"/>
  <c r="H43" i="4"/>
  <c r="H41" i="4"/>
  <c r="M14" i="4"/>
  <c r="M15" i="4" s="1"/>
  <c r="S13" i="4"/>
  <c r="T13" i="4" s="1"/>
  <c r="AH9" i="5"/>
  <c r="L8" i="7"/>
  <c r="L30" i="5"/>
  <c r="P7" i="7"/>
  <c r="G22" i="7"/>
  <c r="K22" i="7"/>
  <c r="AD30" i="5"/>
  <c r="AH26" i="5"/>
  <c r="AF14" i="5"/>
  <c r="H7" i="7"/>
  <c r="O2" i="7"/>
  <c r="H14" i="5"/>
  <c r="S12" i="5"/>
  <c r="G8" i="7"/>
  <c r="P14" i="5"/>
  <c r="AG30" i="5"/>
  <c r="R14" i="5"/>
  <c r="R20" i="7"/>
  <c r="R10" i="7"/>
  <c r="AH21" i="5"/>
  <c r="Q30" i="5"/>
  <c r="Q29" i="7"/>
  <c r="AH12" i="5"/>
  <c r="Q25" i="7"/>
  <c r="Q28" i="7"/>
  <c r="K12" i="7"/>
  <c r="I28" i="7"/>
  <c r="R28" i="7"/>
  <c r="AH27" i="5"/>
  <c r="P18" i="7"/>
  <c r="P25" i="7"/>
  <c r="R30" i="5"/>
  <c r="H30" i="5"/>
  <c r="AH11" i="5"/>
  <c r="P13" i="7"/>
  <c r="AH10" i="5"/>
  <c r="Q10" i="7"/>
  <c r="O14" i="5"/>
  <c r="O30" i="5"/>
  <c r="M46" i="5"/>
  <c r="J26" i="7"/>
  <c r="AH25" i="5"/>
  <c r="AC14" i="5"/>
  <c r="AC30" i="5"/>
  <c r="R9" i="7"/>
  <c r="M6" i="7"/>
  <c r="AH24" i="5"/>
  <c r="K8" i="7"/>
  <c r="S25" i="5"/>
  <c r="S8" i="5"/>
  <c r="M11" i="7"/>
  <c r="M26" i="5"/>
  <c r="M10" i="5"/>
  <c r="M10" i="7" s="1"/>
  <c r="O8" i="7"/>
  <c r="M13" i="5"/>
  <c r="M29" i="5"/>
  <c r="M29" i="7" s="1"/>
  <c r="AG14" i="5"/>
  <c r="O7" i="7"/>
  <c r="L2" i="7"/>
  <c r="AF30" i="5"/>
  <c r="G7" i="7"/>
  <c r="L23" i="7"/>
  <c r="AH23" i="5"/>
  <c r="L12" i="7"/>
  <c r="L10" i="7"/>
  <c r="Z30" i="5"/>
  <c r="S6" i="5"/>
  <c r="K20" i="7"/>
  <c r="K29" i="7"/>
  <c r="K11" i="7"/>
  <c r="K10" i="7"/>
  <c r="Z14" i="5"/>
  <c r="AB14" i="5"/>
  <c r="J14" i="5"/>
  <c r="G21" i="7"/>
  <c r="AH5" i="5"/>
  <c r="AE14" i="5"/>
  <c r="Y14" i="5"/>
  <c r="R21" i="7"/>
  <c r="J9" i="7"/>
  <c r="J6" i="7"/>
  <c r="J30" i="5"/>
  <c r="W14" i="5"/>
  <c r="K14" i="5"/>
  <c r="AH6" i="5"/>
  <c r="S5" i="5"/>
  <c r="AH8" i="5"/>
  <c r="S20" i="5"/>
  <c r="X30" i="5"/>
  <c r="AH20" i="5"/>
  <c r="AH3" i="5"/>
  <c r="AE30" i="5"/>
  <c r="J20" i="7"/>
  <c r="Y30" i="5"/>
  <c r="I14" i="5"/>
  <c r="X14" i="5"/>
  <c r="I30" i="5"/>
  <c r="M4" i="7"/>
  <c r="I11" i="7"/>
  <c r="I29" i="7"/>
  <c r="AH4" i="5"/>
  <c r="H20" i="7"/>
  <c r="R3" i="7"/>
  <c r="H28" i="7"/>
  <c r="AB30" i="5"/>
  <c r="H24" i="7"/>
  <c r="H6" i="7"/>
  <c r="H13" i="7"/>
  <c r="H27" i="7"/>
  <c r="H5" i="7"/>
  <c r="H3" i="7"/>
  <c r="W30" i="5"/>
  <c r="H26" i="7"/>
  <c r="V14" i="5"/>
  <c r="AH13" i="5"/>
  <c r="AH28" i="5"/>
  <c r="AH29" i="5"/>
  <c r="V30" i="5"/>
  <c r="AH18" i="5"/>
  <c r="AH2" i="5"/>
  <c r="G30" i="5"/>
  <c r="AH7" i="5"/>
  <c r="I2" i="7"/>
  <c r="AA14" i="5"/>
  <c r="L14" i="5"/>
  <c r="AA30" i="5"/>
  <c r="G5" i="7"/>
  <c r="AH19" i="5"/>
  <c r="L18" i="7"/>
  <c r="G10" i="7"/>
  <c r="G14" i="5"/>
  <c r="AH46" i="5"/>
  <c r="H2" i="7"/>
  <c r="P2" i="7"/>
  <c r="P30" i="5"/>
  <c r="G19" i="7"/>
  <c r="M18" i="7"/>
  <c r="G15" i="4"/>
  <c r="Z57" i="4"/>
  <c r="AA40" i="4" s="1"/>
  <c r="AK14" i="4"/>
  <c r="Y15" i="4"/>
  <c r="AL15" i="4" s="1"/>
  <c r="S23" i="5" l="1"/>
  <c r="S18" i="5"/>
  <c r="Q14" i="7"/>
  <c r="S7" i="5"/>
  <c r="O30" i="7"/>
  <c r="N24" i="7"/>
  <c r="S24" i="7" s="1"/>
  <c r="S3" i="5"/>
  <c r="N18" i="7"/>
  <c r="S22" i="5"/>
  <c r="S23" i="7"/>
  <c r="S19" i="7"/>
  <c r="K30" i="5"/>
  <c r="S28" i="5"/>
  <c r="S21" i="5"/>
  <c r="S19" i="5"/>
  <c r="S22" i="7"/>
  <c r="S4" i="7"/>
  <c r="N30" i="5"/>
  <c r="S46" i="5"/>
  <c r="S2" i="5"/>
  <c r="Q30" i="7"/>
  <c r="N14" i="7"/>
  <c r="S9" i="5"/>
  <c r="S27" i="5"/>
  <c r="S27" i="7"/>
  <c r="N14" i="5"/>
  <c r="S4" i="5"/>
  <c r="S12" i="7"/>
  <c r="H57" i="4"/>
  <c r="I36" i="4" s="1"/>
  <c r="S14" i="4"/>
  <c r="T15" i="4"/>
  <c r="S25" i="7"/>
  <c r="S11" i="7"/>
  <c r="P30" i="7"/>
  <c r="S8" i="7"/>
  <c r="S7" i="7"/>
  <c r="K14" i="7"/>
  <c r="S20" i="7"/>
  <c r="S21" i="7"/>
  <c r="K30" i="7"/>
  <c r="R14" i="7"/>
  <c r="S9" i="7"/>
  <c r="S28" i="7"/>
  <c r="I30" i="7"/>
  <c r="R30" i="7"/>
  <c r="P14" i="7"/>
  <c r="S10" i="7"/>
  <c r="S10" i="5"/>
  <c r="J30" i="7"/>
  <c r="O14" i="7"/>
  <c r="S29" i="5"/>
  <c r="M13" i="7"/>
  <c r="S13" i="7" s="1"/>
  <c r="S13" i="5"/>
  <c r="M26" i="7"/>
  <c r="S26" i="7" s="1"/>
  <c r="S26" i="5"/>
  <c r="M30" i="5"/>
  <c r="M14" i="5"/>
  <c r="L14" i="7"/>
  <c r="L30" i="7"/>
  <c r="S6" i="7"/>
  <c r="J14" i="7"/>
  <c r="S5" i="7"/>
  <c r="G14" i="7"/>
  <c r="S29" i="7"/>
  <c r="I14" i="7"/>
  <c r="S3" i="7"/>
  <c r="H14" i="7"/>
  <c r="AH14" i="5"/>
  <c r="H30" i="7"/>
  <c r="AH30" i="5"/>
  <c r="S2" i="7"/>
  <c r="G30" i="7"/>
  <c r="AA36" i="4"/>
  <c r="AA39" i="4"/>
  <c r="AA49" i="4"/>
  <c r="AA55" i="4"/>
  <c r="AA52" i="4"/>
  <c r="AA50" i="4"/>
  <c r="AA56" i="4"/>
  <c r="AA37" i="4"/>
  <c r="AA53" i="4"/>
  <c r="AA54" i="4"/>
  <c r="AA51" i="4"/>
  <c r="AA48" i="4"/>
  <c r="AA44" i="4"/>
  <c r="AA43" i="4"/>
  <c r="AA41" i="4"/>
  <c r="AA42" i="4"/>
  <c r="AA46" i="4"/>
  <c r="AA45" i="4"/>
  <c r="AA38" i="4"/>
  <c r="AA47" i="4"/>
  <c r="N30" i="7" l="1"/>
  <c r="S18" i="7"/>
  <c r="S30" i="5"/>
  <c r="S14" i="5"/>
  <c r="I53" i="4"/>
  <c r="I50" i="4"/>
  <c r="I42" i="4"/>
  <c r="I43" i="4"/>
  <c r="I54" i="4"/>
  <c r="I37" i="4"/>
  <c r="I49" i="4"/>
  <c r="I44" i="4"/>
  <c r="I41" i="4"/>
  <c r="I39" i="4"/>
  <c r="I46" i="4"/>
  <c r="I48" i="4"/>
  <c r="I47" i="4"/>
  <c r="I38" i="4"/>
  <c r="I55" i="4"/>
  <c r="I52" i="4"/>
  <c r="I45" i="4"/>
  <c r="I56" i="4"/>
  <c r="I40" i="4"/>
  <c r="M14" i="7"/>
  <c r="S14" i="7" s="1"/>
  <c r="M30" i="7"/>
  <c r="AA57" i="4"/>
  <c r="S30" i="7" l="1"/>
  <c r="I57" i="4"/>
</calcChain>
</file>

<file path=xl/sharedStrings.xml><?xml version="1.0" encoding="utf-8"?>
<sst xmlns="http://schemas.openxmlformats.org/spreadsheetml/2006/main" count="1428" uniqueCount="503">
  <si>
    <t>Release V.1.0.0</t>
  </si>
  <si>
    <t>Vocabulary</t>
  </si>
  <si>
    <t>Types</t>
  </si>
  <si>
    <t>Sheet</t>
  </si>
  <si>
    <t>Term</t>
  </si>
  <si>
    <t>Explanation</t>
  </si>
  <si>
    <t>NodeTypes</t>
  </si>
  <si>
    <t>RoadClasses</t>
  </si>
  <si>
    <t>Ctypes</t>
  </si>
  <si>
    <t>V0Types</t>
  </si>
  <si>
    <t>ZoneTypes</t>
  </si>
  <si>
    <t>Item Types</t>
  </si>
  <si>
    <t>Info</t>
  </si>
  <si>
    <t>Vocabulary and Databank</t>
  </si>
  <si>
    <t>Node</t>
  </si>
  <si>
    <t>Motorway</t>
  </si>
  <si>
    <t>Main</t>
  </si>
  <si>
    <t>Attribute</t>
  </si>
  <si>
    <t>Types of Nodes</t>
  </si>
  <si>
    <t>Intersection</t>
  </si>
  <si>
    <t>Highway</t>
  </si>
  <si>
    <t>Internal</t>
  </si>
  <si>
    <t>Parameter</t>
  </si>
  <si>
    <t>Road Classes</t>
  </si>
  <si>
    <t>Classes of Roads</t>
  </si>
  <si>
    <t>Roundabout</t>
  </si>
  <si>
    <t>Primary</t>
  </si>
  <si>
    <t>External</t>
  </si>
  <si>
    <t>Boundary</t>
  </si>
  <si>
    <t>Capacity types</t>
  </si>
  <si>
    <t>Signalized</t>
  </si>
  <si>
    <t>Secondary</t>
  </si>
  <si>
    <t>Housing</t>
  </si>
  <si>
    <t>Range</t>
  </si>
  <si>
    <t>Default free flow velocity of links (km/h)</t>
  </si>
  <si>
    <t>Junction</t>
  </si>
  <si>
    <t>School</t>
  </si>
  <si>
    <t>Types of Zones</t>
  </si>
  <si>
    <t>Zone</t>
  </si>
  <si>
    <t>Hospital</t>
  </si>
  <si>
    <t>NetNum</t>
  </si>
  <si>
    <t>Network Numeric</t>
  </si>
  <si>
    <t>Internal Zone</t>
  </si>
  <si>
    <t>Office</t>
  </si>
  <si>
    <t>NodeNo</t>
  </si>
  <si>
    <t>Number index of Nodes</t>
  </si>
  <si>
    <t>External Zone</t>
  </si>
  <si>
    <t>Industrial</t>
  </si>
  <si>
    <t>NodeName</t>
  </si>
  <si>
    <t>Names of Nodes</t>
  </si>
  <si>
    <t>NodeType</t>
  </si>
  <si>
    <t>LinkNo</t>
  </si>
  <si>
    <t>Number index of Links</t>
  </si>
  <si>
    <t>FromNode</t>
  </si>
  <si>
    <t>A link index that specify the start node of a link</t>
  </si>
  <si>
    <t>ToNode</t>
  </si>
  <si>
    <t>A link index that specify the finish node of a link</t>
  </si>
  <si>
    <t>ZoneNode</t>
  </si>
  <si>
    <t>A start node of a link is a Zone Node if it is located on a Zone</t>
  </si>
  <si>
    <t>LinkClass</t>
  </si>
  <si>
    <t>Road Classes from the Info sheet</t>
  </si>
  <si>
    <t>LengthKm</t>
  </si>
  <si>
    <t>Length of a link in kilometer</t>
  </si>
  <si>
    <t>V0KmH</t>
  </si>
  <si>
    <t>CVehH</t>
  </si>
  <si>
    <t>Capacity of links in (veh/h)</t>
  </si>
  <si>
    <t>FFTTMin</t>
  </si>
  <si>
    <t>Free flow travel time of links (minute)</t>
  </si>
  <si>
    <t>ZoneNo</t>
  </si>
  <si>
    <t>Node number that is selected to be a zone</t>
  </si>
  <si>
    <t>ZoneName</t>
  </si>
  <si>
    <t>Names of Zones</t>
  </si>
  <si>
    <t>ZoneType</t>
  </si>
  <si>
    <t>UniqueZone</t>
  </si>
  <si>
    <t>Unique Zone Number (non-duplicating/overlapping by the no or code)</t>
  </si>
  <si>
    <t>UniqueNode</t>
  </si>
  <si>
    <t>Unique Node Number (non-duplicating/overlapping by the no or code)</t>
  </si>
  <si>
    <t>UniqueLink</t>
  </si>
  <si>
    <t>Unique Link Number (non-duplicating/overlapping by the no or code)</t>
  </si>
  <si>
    <t>Pro</t>
  </si>
  <si>
    <t>Production &amp; Attraction</t>
  </si>
  <si>
    <t>DailyFlow</t>
  </si>
  <si>
    <t>Daily flow count of a external zone, for to be a production/attraction value</t>
  </si>
  <si>
    <t>Population</t>
  </si>
  <si>
    <t>Population of a Zone / Neighbourhood etc.</t>
  </si>
  <si>
    <t>LaborForce</t>
  </si>
  <si>
    <t>Labor Force of a Zone / Neighbouhood etc.</t>
  </si>
  <si>
    <t>P1a0</t>
  </si>
  <si>
    <t>Purpose 1, parameter 0 (Daily Flow coefficient)</t>
  </si>
  <si>
    <t>P1a1</t>
  </si>
  <si>
    <t>Purpose 1, parameter 1 (Population coefficient)</t>
  </si>
  <si>
    <t>P1a2</t>
  </si>
  <si>
    <t>Purpose 1, parameter 2 (Labor Force coefficient)</t>
  </si>
  <si>
    <t>P2a0</t>
  </si>
  <si>
    <t>Purpose 2, parameter 0</t>
  </si>
  <si>
    <t>P2a1</t>
  </si>
  <si>
    <t>Purpose 2, parameter 1</t>
  </si>
  <si>
    <t>P2a2</t>
  </si>
  <si>
    <t>Purpose 2, parameter 2</t>
  </si>
  <si>
    <t>Max</t>
  </si>
  <si>
    <t>Maximum value for random value production of Population and Labor Force variants</t>
  </si>
  <si>
    <t>Min</t>
  </si>
  <si>
    <t>Minimum value for random value production of Population and Labor Force variants</t>
  </si>
  <si>
    <t>Dist</t>
  </si>
  <si>
    <t>Trip Distribution</t>
  </si>
  <si>
    <t>DistTripsP1</t>
  </si>
  <si>
    <t>Distribution of trips of trip purpose number 1</t>
  </si>
  <si>
    <t>TotalAttP1</t>
  </si>
  <si>
    <t>Totall attraction of trips of trip purpose number 1</t>
  </si>
  <si>
    <t>P1Ej</t>
  </si>
  <si>
    <t>The convergence rate of attraction values of trip purpose 1</t>
  </si>
  <si>
    <t>P1Kj</t>
  </si>
  <si>
    <t>The balancing value of attraction values of trip purpose 1</t>
  </si>
  <si>
    <t>AttP1</t>
  </si>
  <si>
    <t>Trip attraction of zones of trip purpose 1</t>
  </si>
  <si>
    <t>TotalProP1</t>
  </si>
  <si>
    <t>Totall production of trips of trip purpose number 1</t>
  </si>
  <si>
    <t>P1Ei</t>
  </si>
  <si>
    <t>The convergence rate of production values of trip purpose 1</t>
  </si>
  <si>
    <t>P1Ki</t>
  </si>
  <si>
    <t>The balancing value of production values of trip purpose 1</t>
  </si>
  <si>
    <t>ProP1</t>
  </si>
  <si>
    <t>Trip production of zones of trip purpose 1</t>
  </si>
  <si>
    <t>DistTripsP2</t>
  </si>
  <si>
    <t>Distribution of trips of trip purpose number 2</t>
  </si>
  <si>
    <t>TotalAttP2</t>
  </si>
  <si>
    <t>Totall attraction of trips of trip purpose number 2</t>
  </si>
  <si>
    <t>P2Ej</t>
  </si>
  <si>
    <t>The convergence rate of attraction values of trip purpose 2</t>
  </si>
  <si>
    <t>P2Kj</t>
  </si>
  <si>
    <t>The balancing value of attraction values of trip purpose 2</t>
  </si>
  <si>
    <t>AttP2</t>
  </si>
  <si>
    <t>Trip attraction of zones of trip purpose 2</t>
  </si>
  <si>
    <t>TotalProP2</t>
  </si>
  <si>
    <t>Totall production of trips of trip purpose number 2</t>
  </si>
  <si>
    <t>P2Ei</t>
  </si>
  <si>
    <t>The convergence rate of production values of trip purpose 2</t>
  </si>
  <si>
    <t>P2Ki</t>
  </si>
  <si>
    <t>The balancing value of production values of trip purpose 2</t>
  </si>
  <si>
    <t>ProP2</t>
  </si>
  <si>
    <t>Trip production of zones of trip purpose 2</t>
  </si>
  <si>
    <t>UtilP1</t>
  </si>
  <si>
    <t>Utilization/Disutilization values of trip purpose 1</t>
  </si>
  <si>
    <t>UtilP2</t>
  </si>
  <si>
    <t>Utilization/Disutilization values of trip purpose 2</t>
  </si>
  <si>
    <t>DistP1a1</t>
  </si>
  <si>
    <t>Parameter 1 of the combined model for trip purpose 1</t>
  </si>
  <si>
    <t>DistP1a2</t>
  </si>
  <si>
    <t>Parameter 2 of the combined model for trip purpose 1</t>
  </si>
  <si>
    <t>DistP2a1</t>
  </si>
  <si>
    <t>Parameter 1 of the combined model for trip purpose 2</t>
  </si>
  <si>
    <t>DistP2a2</t>
  </si>
  <si>
    <t>Parameter 2 of the combined model for trip purpose 2</t>
  </si>
  <si>
    <t>MaxUtil</t>
  </si>
  <si>
    <t>Maximum utilization/disutilization values for random value generation</t>
  </si>
  <si>
    <t>MinUtil</t>
  </si>
  <si>
    <t>Minimum utilization/disutilization values for random value generation</t>
  </si>
  <si>
    <t>Mods</t>
  </si>
  <si>
    <t>Modal Split/Mode Choice</t>
  </si>
  <si>
    <t>TripsP1M1</t>
  </si>
  <si>
    <t>Trips for purpose 1 and mode 1</t>
  </si>
  <si>
    <t>TripsP1M2</t>
  </si>
  <si>
    <t>Trips for purpose 1 and mode 2</t>
  </si>
  <si>
    <t>TripsP1</t>
  </si>
  <si>
    <t>Total trips of trip purpose 1</t>
  </si>
  <si>
    <t>UtilP1M1</t>
  </si>
  <si>
    <t>Utilization/Disutilization values of purpose1, mode 1</t>
  </si>
  <si>
    <t>UtilP1M2</t>
  </si>
  <si>
    <t>Utilization/Disutilization values of purpose1, mode 2</t>
  </si>
  <si>
    <t>CostP1M1</t>
  </si>
  <si>
    <t>Cost values of trips for trip purpose 1 and mode 1</t>
  </si>
  <si>
    <t>CostP1M2</t>
  </si>
  <si>
    <t>Cost values of trips for trip purpose 1 and mode 2</t>
  </si>
  <si>
    <t>TimeP1M1</t>
  </si>
  <si>
    <t>Time values of trips of trip purpose 1 and mode 1</t>
  </si>
  <si>
    <t>TimeP1M2</t>
  </si>
  <si>
    <t>Time values of trips of trip purpose 1 and mode 2</t>
  </si>
  <si>
    <t>TripsP2M1</t>
  </si>
  <si>
    <t>Trips for purpose 2 and mode 1</t>
  </si>
  <si>
    <t>TripsP2M2</t>
  </si>
  <si>
    <t>Trips for purpose 2 and mode 2</t>
  </si>
  <si>
    <t>TripsP2</t>
  </si>
  <si>
    <t>Total trips of trip purpose 2</t>
  </si>
  <si>
    <t>UtilP2M1</t>
  </si>
  <si>
    <t>Utilization/Disutilization values of purpose2, mode 1</t>
  </si>
  <si>
    <t>UtilP2M2</t>
  </si>
  <si>
    <t>Utilization/Disutilization values of purpose2, mode 2</t>
  </si>
  <si>
    <t>CostP2M1</t>
  </si>
  <si>
    <t>Cost values of trips for trip purpose 2 and mode 1</t>
  </si>
  <si>
    <t>CostP2M2</t>
  </si>
  <si>
    <t>Cost values of trips for trip purpose 2 and mode 2</t>
  </si>
  <si>
    <t>TimeP2M1</t>
  </si>
  <si>
    <t>Time values of trips of trip purpose 2 and mode 1</t>
  </si>
  <si>
    <t>TimeP2M2</t>
  </si>
  <si>
    <t>Time values of trips of trip purpose 2 and mode 2</t>
  </si>
  <si>
    <t>UtilP1a1</t>
  </si>
  <si>
    <t>Utilization/disutilization coefficient 1 of trip purpose 1</t>
  </si>
  <si>
    <t>UtilP1a2</t>
  </si>
  <si>
    <t>Utilization/disutilization coefficient 2 of trip purpose 1</t>
  </si>
  <si>
    <t>UtilP2a1</t>
  </si>
  <si>
    <t>Utilization/disutilization coefficient 1 of trip purpose 2</t>
  </si>
  <si>
    <t>UtilP2a2</t>
  </si>
  <si>
    <t>Utilization/disutilization coefficient 2 of trip purpose 2</t>
  </si>
  <si>
    <t>MaxCostM1</t>
  </si>
  <si>
    <t>Maximum random cost value for mode 1 (for random value generation)</t>
  </si>
  <si>
    <t>MinCostM1</t>
  </si>
  <si>
    <t>Minimum random cost value for mode 1 (for random value generation)</t>
  </si>
  <si>
    <t>MaxCostM2</t>
  </si>
  <si>
    <t>Maximum random cost value for mode 2 (for random value generation)</t>
  </si>
  <si>
    <t>MinCostM2</t>
  </si>
  <si>
    <t>Minimum random cost value for mode 2 (for random value generation)</t>
  </si>
  <si>
    <t>MaxTimeM1</t>
  </si>
  <si>
    <t>Maximum random time value for mode 1 (for random value generation)</t>
  </si>
  <si>
    <t>MinTimeM1</t>
  </si>
  <si>
    <t>Minimum random time value for mode 1 (for random value generation)</t>
  </si>
  <si>
    <t>MaxTimeM2</t>
  </si>
  <si>
    <t>Maximum random time value for mode 2 (for random value generation)</t>
  </si>
  <si>
    <t>MinTimeM2</t>
  </si>
  <si>
    <t>Minimum random time value for mode 2 (for random value generation)</t>
  </si>
  <si>
    <t>Factors</t>
  </si>
  <si>
    <t>Factors that effects person trips to vehicle trips conversion</t>
  </si>
  <si>
    <t>PHF</t>
  </si>
  <si>
    <t>Peak Hour Factor</t>
  </si>
  <si>
    <t>OccM1</t>
  </si>
  <si>
    <t>Occuoancy of mode 1</t>
  </si>
  <si>
    <t>OccM2</t>
  </si>
  <si>
    <t>Occupancy of mode 2</t>
  </si>
  <si>
    <t>MaxPHF</t>
  </si>
  <si>
    <t>Maximum Peak Hour Factor value for random value generation</t>
  </si>
  <si>
    <t>MinPHF</t>
  </si>
  <si>
    <t>Minimum Peak Hour Factor value for random value generation</t>
  </si>
  <si>
    <t>MaxOccM1</t>
  </si>
  <si>
    <t>Maximum Occupancy value for mode 1 for random value generation</t>
  </si>
  <si>
    <t>MinOccM1</t>
  </si>
  <si>
    <t>Minimum Occupancy value for mode 1 for random value generation</t>
  </si>
  <si>
    <t>MaxOccM2</t>
  </si>
  <si>
    <t>Maximum Occupancy value for mode 2 for random value generation</t>
  </si>
  <si>
    <t>MinOccM2</t>
  </si>
  <si>
    <t>Minimum Occupancy value for mode 2 for random value generation</t>
  </si>
  <si>
    <t>PCUM1</t>
  </si>
  <si>
    <t>Per Car Unit/Equavalent of mode 1</t>
  </si>
  <si>
    <t>PCUM2</t>
  </si>
  <si>
    <t>Per Car Unit/Equavalent of mode 2</t>
  </si>
  <si>
    <t>UpMatrices</t>
  </si>
  <si>
    <t>Updated Matrices for Assignment</t>
  </si>
  <si>
    <t>MatriceM1</t>
  </si>
  <si>
    <t>Assignment matrice for mode 1</t>
  </si>
  <si>
    <t>MatriceM2</t>
  </si>
  <si>
    <t>Assignment matrice for mode 2</t>
  </si>
  <si>
    <t>UpLinks</t>
  </si>
  <si>
    <t>Updated Links for Assignment (this sheet is updated at each iteration of assignment)</t>
  </si>
  <si>
    <t>Number index of links</t>
  </si>
  <si>
    <t>CVolVehH</t>
  </si>
  <si>
    <t>Current volume of links (updated volumes in veh/hr)</t>
  </si>
  <si>
    <t>CTTMin</t>
  </si>
  <si>
    <t>Current travel time of links (updated times in minutes)</t>
  </si>
  <si>
    <t>NT</t>
  </si>
  <si>
    <t>Travel time between nodes (links)</t>
  </si>
  <si>
    <t>Alpha</t>
  </si>
  <si>
    <t>Alpha coefficient for BPR function</t>
  </si>
  <si>
    <t>Beta</t>
  </si>
  <si>
    <t>Beta coefficient for BPR function</t>
  </si>
  <si>
    <t>SPth</t>
  </si>
  <si>
    <t>Shortest Path for both routes and between zones</t>
  </si>
  <si>
    <t>FromZone</t>
  </si>
  <si>
    <t>Route start index for shortest path</t>
  </si>
  <si>
    <t>ToZone</t>
  </si>
  <si>
    <t>Route finish index for shortest path</t>
  </si>
  <si>
    <t>CostMin</t>
  </si>
  <si>
    <t>Shortest Path's cost in minute</t>
  </si>
  <si>
    <t>PathNodes</t>
  </si>
  <si>
    <t>Splitted nodes of a shortest path nodes</t>
  </si>
  <si>
    <t>ZT</t>
  </si>
  <si>
    <t>Shortest travel time between zones</t>
  </si>
  <si>
    <t>AsgAON</t>
  </si>
  <si>
    <t>All or Nothing traffic assignment</t>
  </si>
  <si>
    <t>AON</t>
  </si>
  <si>
    <t>All or Nothing traffic assignment result matrix between nodes (links)</t>
  </si>
  <si>
    <t>AONMod</t>
  </si>
  <si>
    <t>Choosable mode for traffic assignment (set 1 for mod 1, 2 for mod 2 assignment)</t>
  </si>
  <si>
    <t>AsgInc</t>
  </si>
  <si>
    <t>Incramental traffic assignment (Rate; total vehicle demand/maximum iteration number)</t>
  </si>
  <si>
    <t>INC</t>
  </si>
  <si>
    <t>Incramental traffic assignment result matrix between nodes (links)</t>
  </si>
  <si>
    <t>INCMod</t>
  </si>
  <si>
    <t>Iter</t>
  </si>
  <si>
    <t>Maximum iteration, a higher value will have resulted close to user equilibrium</t>
  </si>
  <si>
    <t>CurIter</t>
  </si>
  <si>
    <t>Current iteration counter</t>
  </si>
  <si>
    <t>NetGraph</t>
  </si>
  <si>
    <t>Network Graphical</t>
  </si>
  <si>
    <t>LinkName</t>
  </si>
  <si>
    <t>Names of links. Graph objects are linked to that names.</t>
  </si>
  <si>
    <t>CVolCap</t>
  </si>
  <si>
    <t>Current volume/capacity ratio of links (updated v/c value)</t>
  </si>
  <si>
    <t>Definitions</t>
  </si>
  <si>
    <t>Type</t>
  </si>
  <si>
    <t>Code</t>
  </si>
  <si>
    <t>Value</t>
  </si>
  <si>
    <t>Att(1)</t>
  </si>
  <si>
    <t>Att(2)</t>
  </si>
  <si>
    <t>Att(3)</t>
  </si>
  <si>
    <t>Att(4)</t>
  </si>
  <si>
    <t>Att(5)</t>
  </si>
  <si>
    <t>Att(6)</t>
  </si>
  <si>
    <t>Att(7)</t>
  </si>
  <si>
    <t>Att(8)</t>
  </si>
  <si>
    <t>Att(9)</t>
  </si>
  <si>
    <t>Att(10)</t>
  </si>
  <si>
    <t>Att(11)</t>
  </si>
  <si>
    <t>Att(12)</t>
  </si>
  <si>
    <t>Att(13)</t>
  </si>
  <si>
    <t>Att(14)</t>
  </si>
  <si>
    <t>Att(15)</t>
  </si>
  <si>
    <t>Ran(1)</t>
  </si>
  <si>
    <t>Ran(2)</t>
  </si>
  <si>
    <t>Ran(3)</t>
  </si>
  <si>
    <t>Note: Range item types generate their own value. It is automatic.</t>
  </si>
  <si>
    <t>TotalPro</t>
  </si>
  <si>
    <t>TotalAtt</t>
  </si>
  <si>
    <t>Par(1)</t>
  </si>
  <si>
    <t>Par(2)</t>
  </si>
  <si>
    <t>Par(3)</t>
  </si>
  <si>
    <t>Par(4)</t>
  </si>
  <si>
    <t>Par(5)</t>
  </si>
  <si>
    <t>Par(6)</t>
  </si>
  <si>
    <t>Bound</t>
  </si>
  <si>
    <t>Bou(1)</t>
  </si>
  <si>
    <t>Bou(2)</t>
  </si>
  <si>
    <t>Total</t>
  </si>
  <si>
    <t>-</t>
  </si>
  <si>
    <t>Note: Please set all P2 parameters to 0 (zero) if there is only one trip purpose.</t>
  </si>
  <si>
    <t>Att(16)</t>
  </si>
  <si>
    <t>Att(17)</t>
  </si>
  <si>
    <t>Att(18)</t>
  </si>
  <si>
    <t>Att(19)</t>
  </si>
  <si>
    <t>Att(20)</t>
  </si>
  <si>
    <t>Lower</t>
  </si>
  <si>
    <t>Upper</t>
  </si>
  <si>
    <t>Demand</t>
  </si>
  <si>
    <t>Share (%)</t>
  </si>
  <si>
    <t>Bou(3)</t>
  </si>
  <si>
    <t>Bou(4)</t>
  </si>
  <si>
    <t>Bou(5)</t>
  </si>
  <si>
    <t>Bou(6)</t>
  </si>
  <si>
    <t>Bou(7)</t>
  </si>
  <si>
    <t>Bou(8)</t>
  </si>
  <si>
    <t>e1</t>
  </si>
  <si>
    <t>e2</t>
  </si>
  <si>
    <t>e3</t>
  </si>
  <si>
    <t>e4</t>
  </si>
  <si>
    <t>e5</t>
  </si>
  <si>
    <t>e6</t>
  </si>
  <si>
    <t>e7</t>
  </si>
  <si>
    <t>e8</t>
  </si>
  <si>
    <t>e9</t>
  </si>
  <si>
    <t>e10</t>
  </si>
  <si>
    <t>e11</t>
  </si>
  <si>
    <t>e12</t>
  </si>
  <si>
    <t>e13</t>
  </si>
  <si>
    <t>e14</t>
  </si>
  <si>
    <t>e15</t>
  </si>
  <si>
    <t>e16</t>
  </si>
  <si>
    <t>e…</t>
  </si>
  <si>
    <t>NP</t>
  </si>
  <si>
    <t>9---10---11---12</t>
  </si>
  <si>
    <t>9---24</t>
  </si>
  <si>
    <t>9---24---23---22---21</t>
  </si>
  <si>
    <t>12---11---10---9</t>
  </si>
  <si>
    <t>12---27---39---44---43</t>
  </si>
  <si>
    <t>29---13---12</t>
  </si>
  <si>
    <t>29---30</t>
  </si>
  <si>
    <t>29---28---40</t>
  </si>
  <si>
    <t>24---9</t>
  </si>
  <si>
    <t>24---23---22---21</t>
  </si>
  <si>
    <t>21---22---23---24---9</t>
  </si>
  <si>
    <t>21---22---23---24</t>
  </si>
  <si>
    <t>21---36---43</t>
  </si>
  <si>
    <t>21---20---19---18</t>
  </si>
  <si>
    <t>42---43</t>
  </si>
  <si>
    <t>42---33</t>
  </si>
  <si>
    <t>42---33---18</t>
  </si>
  <si>
    <t>42---41---40</t>
  </si>
  <si>
    <t>43---44---39---27---12</t>
  </si>
  <si>
    <t>43---36---21</t>
  </si>
  <si>
    <t>43---42</t>
  </si>
  <si>
    <t>33---42</t>
  </si>
  <si>
    <t>33---18</t>
  </si>
  <si>
    <t>30---29</t>
  </si>
  <si>
    <t>30---31</t>
  </si>
  <si>
    <t>18---19---20---21</t>
  </si>
  <si>
    <t>18---33</t>
  </si>
  <si>
    <t>40---28---29</t>
  </si>
  <si>
    <t>40---41---42</t>
  </si>
  <si>
    <t>Note: AONMod shows which Mod Matrice will be assigned. Please set 1 for Mod 1, set 2 for Mod 2.</t>
  </si>
  <si>
    <t>Note: After AON, the Link Volumes and Travel Times will be updated at VolVehH column and NT Matrix, respectively, in UpLinks sheet. Additionally,  shortest paths will be deleted. Please check UpLinks and SPth sheets.</t>
  </si>
  <si>
    <t>Note: Please specify Iter Number. If you set a high value of iteration, graph can reach user equilibrium but run time will increase. Since this program visualize data at each iteration.</t>
  </si>
  <si>
    <t>Note: This page includes Updated Demand matrices in terms of PCU (Per Car Unit) for Mode 1 and Mode 2 (i.e. M1, M2)</t>
  </si>
  <si>
    <t>9---24---23---22---21---20---19---18</t>
  </si>
  <si>
    <t>12---13---29</t>
  </si>
  <si>
    <t>24---23---22---21---20---19---18</t>
  </si>
  <si>
    <t>31---30</t>
  </si>
  <si>
    <t>18---19---20---21---22---23---24---9</t>
  </si>
  <si>
    <t>18---19---20---21---22---23---24</t>
  </si>
  <si>
    <t>18---33---42</t>
  </si>
  <si>
    <t>Welcome to GraphES-Planning
Graph Excel Studies for Transportation-Planning</t>
  </si>
  <si>
    <r>
      <rPr>
        <b/>
        <sz val="11"/>
        <color theme="1"/>
        <rFont val="Aptos Narrow"/>
        <family val="2"/>
        <charset val="162"/>
        <scheme val="minor"/>
      </rPr>
      <t>This program has been developed in Microsoft Excel &amp; VBA to solve transportation planning and network problems with visual inputs and outputs. All codes are open source. Any user can utilize this program in various ways:
-Design of Intelligent Transportation Algorithms,
-Educational purposes for Transportation &amp; Traffic Engineering,
-Graph Theory applications,
-Exercises of various models such as Trip Distribution, Shortest Path, Traffic Assignment etc. 
-Mathematical Optimisation &amp; Artificial Intelligence practices...</t>
    </r>
    <r>
      <rPr>
        <sz val="11"/>
        <color theme="1"/>
        <rFont val="Aptos Narrow"/>
        <family val="2"/>
        <scheme val="minor"/>
      </rPr>
      <t xml:space="preserve">
There are several sections in the program. These sections follow the same procedure as a standard "4 Step Transportation Planning" methodology. The formulations are in Excel sheets instead of Macros to allow different models to be implemented. Similarly, parameters or boundary values are also available in Excel sheets. Moreover, in order to analyse the effects of different parameters on the network, there are "Clear" and "Random Value" buttons on each sheet. By changing these values, you can see the results of different inputs on the network.
</t>
    </r>
    <r>
      <rPr>
        <sz val="11"/>
        <color rgb="FFFF0000"/>
        <rFont val="Aptos Narrow"/>
        <family val="2"/>
        <charset val="162"/>
        <scheme val="minor"/>
      </rPr>
      <t>When any changes are made to the network, the matrix sizes and formulae must be changed manually. In each model, the codes that form the inputs are linked to the values in the first 4 columns of the relevant page. These values are also the names of the matrices and vectors. As long as these codes and matrix/vector names are not changed, the program will automatically read the network. The codes that should not be changed are written in RED.</t>
    </r>
    <r>
      <rPr>
        <sz val="11"/>
        <color theme="1"/>
        <rFont val="Aptos Narrow"/>
        <family val="2"/>
        <scheme val="minor"/>
      </rPr>
      <t xml:space="preserve">
The first page, "Info", provides an annotated glossary of all terms included in the program. There is also a data reference for Zones, Links, Nodes and Items. Link properties depend on the source on this page. However, it can be changed if desired. Item Types represent the class of the item. Attribute is simply the definition of the matrices and vectors. Parameter are the model parameters (i.e. Gravity Model parameters). Boundary type refers to maximum or minimum of a random generated value. Range type represents the size of a spesific network object. For example Unique Zone number, Unique Node number etc. Furthermore, there is a cheat sheet of formulas that is used in this program. You can find all the formulation/models in the image on the right.
</t>
    </r>
    <r>
      <rPr>
        <b/>
        <sz val="11"/>
        <color theme="1"/>
        <rFont val="Aptos Narrow"/>
        <family val="2"/>
        <charset val="162"/>
        <scheme val="minor"/>
      </rPr>
      <t>By default, the program includes a network of the city of Ankara, Türkiye, which has been simplified and adapted specifically for this program. "Ankara Test Network" consists of 12 Zones, 44 Nodes and 132 Links.</t>
    </r>
    <r>
      <rPr>
        <sz val="11"/>
        <color theme="1"/>
        <rFont val="Aptos Narrow"/>
        <family val="2"/>
        <scheme val="minor"/>
      </rPr>
      <t xml:space="preserve"> If desired, different networks such as Nguyen-Dupuis, Sioux-Falls can be integrated into the program. The number of network components can be increased or decreased...
</t>
    </r>
    <r>
      <rPr>
        <b/>
        <sz val="11"/>
        <color theme="1"/>
        <rFont val="Aptos Narrow"/>
        <family val="2"/>
        <charset val="162"/>
        <scheme val="minor"/>
      </rPr>
      <t>All code in the program was written manually</t>
    </r>
    <r>
      <rPr>
        <sz val="11"/>
        <color theme="1"/>
        <rFont val="Aptos Narrow"/>
        <family val="2"/>
        <scheme val="minor"/>
      </rPr>
      <t xml:space="preserve"> (two modules were adapted from a specific source. Relevant references are given). Thus, it is also aimed to feed the artificial intelligence tools that are frequently used today from the codes written. GraphES Logo, on the other hand, was produced using ChatGPT.
</t>
    </r>
    <r>
      <rPr>
        <b/>
        <sz val="11"/>
        <color theme="1"/>
        <rFont val="Aptos Narrow"/>
        <family val="2"/>
        <charset val="162"/>
        <scheme val="minor"/>
      </rPr>
      <t>The models used in the program (as well as the introductory models for transport planning) are given in the "GraphES Formulation Cheat Sheet" on the right.</t>
    </r>
    <r>
      <rPr>
        <sz val="11"/>
        <color rgb="FF00B050"/>
        <rFont val="Aptos Narrow"/>
        <family val="2"/>
        <charset val="162"/>
        <scheme val="minor"/>
      </rPr>
      <t xml:space="preserve">
</t>
    </r>
    <r>
      <rPr>
        <sz val="11"/>
        <color theme="1"/>
        <rFont val="Aptos Narrow"/>
        <family val="2"/>
        <scheme val="minor"/>
      </rPr>
      <t xml:space="preserve">
</t>
    </r>
    <r>
      <rPr>
        <sz val="11"/>
        <color rgb="FF00B050"/>
        <rFont val="Aptos Narrow"/>
        <family val="2"/>
        <charset val="162"/>
        <scheme val="minor"/>
      </rPr>
      <t>I hope GraphES will be useful for you and you will enjoy using it :)</t>
    </r>
  </si>
  <si>
    <t>9---10---11---12---13---29</t>
  </si>
  <si>
    <t>29---13---12---11---10---9</t>
  </si>
  <si>
    <t>24---23---38---39---40</t>
  </si>
  <si>
    <t>40---39---38---23---24</t>
  </si>
  <si>
    <t>12---27---39---44---41---42</t>
  </si>
  <si>
    <t>29---28---27---39---44---43</t>
  </si>
  <si>
    <t>42---41---44---39---27---12</t>
  </si>
  <si>
    <t>43---44---39---27---28---29</t>
  </si>
  <si>
    <t>43---44---39---40</t>
  </si>
  <si>
    <t>9---10---11---12---13---14---15---16---31</t>
  </si>
  <si>
    <t>9---24---23---22---21---20---19---34---33</t>
  </si>
  <si>
    <t>12---13---14---15---16---31</t>
  </si>
  <si>
    <t>24---23---22---21---20---19---34---33</t>
  </si>
  <si>
    <t>21---20---19---34---33</t>
  </si>
  <si>
    <t>43---36---35---34---33</t>
  </si>
  <si>
    <t>31---16---15---14---13---12---11---10---9</t>
  </si>
  <si>
    <t>31---16---15---14---13---12</t>
  </si>
  <si>
    <t>33---34---19---20---21---22---23---24---9</t>
  </si>
  <si>
    <t>33---34---19---20---21---22---23---24</t>
  </si>
  <si>
    <t>33---34---19---20---21</t>
  </si>
  <si>
    <t>21---20---19---18---17---16---15---30</t>
  </si>
  <si>
    <t>30---15---16---17---18---19---20---21</t>
  </si>
  <si>
    <t>30---15---16---17---18---33---42</t>
  </si>
  <si>
    <t>30---15---16---17---18---33</t>
  </si>
  <si>
    <t>30---15---16---17---18</t>
  </si>
  <si>
    <t>18---17---16---15---30</t>
  </si>
  <si>
    <t>40---39---44---43</t>
  </si>
  <si>
    <t>40---39---44---37---36---35---34---33</t>
  </si>
  <si>
    <t>40---39---38---23---22---21</t>
  </si>
  <si>
    <t>21---22---23---38---39---40</t>
  </si>
  <si>
    <t>29---28---27---26---25---24</t>
  </si>
  <si>
    <t>29---28---40---41---42</t>
  </si>
  <si>
    <t>29---30---31</t>
  </si>
  <si>
    <t>24---9---10---11---12</t>
  </si>
  <si>
    <t>24---25---26---27---28---29</t>
  </si>
  <si>
    <t>21---22---23---24---9---10---11---12</t>
  </si>
  <si>
    <t>42---41---40---28---29</t>
  </si>
  <si>
    <t>31---30---29</t>
  </si>
  <si>
    <t>31---32---33</t>
  </si>
  <si>
    <t>33---42---43</t>
  </si>
  <si>
    <t>33---32---31</t>
  </si>
  <si>
    <t>12---27---39---40</t>
  </si>
  <si>
    <t>40---39---27---12</t>
  </si>
  <si>
    <t>42---33---32---31</t>
  </si>
  <si>
    <t>31---32---33---42</t>
  </si>
  <si>
    <t>31---32---33---42---43</t>
  </si>
  <si>
    <t>43---36---35---34---33---32---31</t>
  </si>
  <si>
    <t>43---36---21---20---19---18</t>
  </si>
  <si>
    <t>31---16---15---14---13---12---27---39---40</t>
  </si>
  <si>
    <t>18---19---20---21---36---43</t>
  </si>
  <si>
    <t>40---39---38---26---25---10---9</t>
  </si>
  <si>
    <t>40---39---27---12---13---14---15---16---31</t>
  </si>
  <si>
    <t>9---10---11---12---13---14---15---30</t>
  </si>
  <si>
    <t>9---10---25---26---38---39---40</t>
  </si>
  <si>
    <t>12---13---14---15---30</t>
  </si>
  <si>
    <t>29---28---27---26---25---24---23---22---21</t>
  </si>
  <si>
    <t>29---30---15---16---17---18</t>
  </si>
  <si>
    <t>24---23---22---21---20---19---18---17---16---15---30</t>
  </si>
  <si>
    <t>21---22---23---24---25---26---27---28---29</t>
  </si>
  <si>
    <t>42---33---32---17---16---15---30</t>
  </si>
  <si>
    <t>33---32---17---16---15---30</t>
  </si>
  <si>
    <t>30---15---14---13---12---11---10---9</t>
  </si>
  <si>
    <t>30---15---14---13---12</t>
  </si>
  <si>
    <t>30---15---16---17---18---19---20---21---22---23---24</t>
  </si>
  <si>
    <t>18---19---20---21---22---23---24---9---10---11---12</t>
  </si>
  <si>
    <t>18---17---16---15---30---29</t>
  </si>
  <si>
    <t>18---19---20---21---22---23---38---39---40</t>
  </si>
  <si>
    <t>40---39---38---23---22---21---20---19---18</t>
  </si>
  <si>
    <t>9---10---25---26---38---39---44---41---42</t>
  </si>
  <si>
    <t>9---10---25---26---38---39---44---43</t>
  </si>
  <si>
    <t>12---11---10---25---24</t>
  </si>
  <si>
    <t>12---11---10---25---24---23---22---21</t>
  </si>
  <si>
    <t>12---11---10---25---24---23---22---21---20---19---34---33</t>
  </si>
  <si>
    <t>12---11---10---25---24---23---22---21---20---19---18</t>
  </si>
  <si>
    <t>29---28---27---26---25---24---23---22---21---20---19---34---33</t>
  </si>
  <si>
    <t>24---23---22---37---44---41---42</t>
  </si>
  <si>
    <t>24---23---22---37---44---43</t>
  </si>
  <si>
    <t>24---23---22---21---20---19---18---17---16---31</t>
  </si>
  <si>
    <t>21---22---37---44---41---42</t>
  </si>
  <si>
    <t>21---20---19---18---17---16---31</t>
  </si>
  <si>
    <t>42---41---44---39---38---26---25---10---9</t>
  </si>
  <si>
    <t>42---41---44---37---22---23---24</t>
  </si>
  <si>
    <t>42---41---44---37---22---21</t>
  </si>
  <si>
    <t>43---44---39---38---26---25---10---9</t>
  </si>
  <si>
    <t>43---36---37---22---23---24</t>
  </si>
  <si>
    <t>43---36---21---20---19---18---17---16---15---30</t>
  </si>
  <si>
    <t>31---16---17---18---19---20---21---22---23---24</t>
  </si>
  <si>
    <t>31---16---17---18---19---20---21</t>
  </si>
  <si>
    <t>31---16---17---18</t>
  </si>
  <si>
    <t>33---34---19---20---21---22---23---24---9---10---11---12</t>
  </si>
  <si>
    <t>33---32---17---16---15---30---29</t>
  </si>
  <si>
    <t>33---34---19---20---21---22---23---38---39---40</t>
  </si>
  <si>
    <t>30---15---16---17---18---19---20---21---36---43</t>
  </si>
  <si>
    <t>30---15---14---13---12---27---39---40</t>
  </si>
  <si>
    <t>18---17---16---31</t>
  </si>
  <si>
    <t>40---39---27---12---13---14---15---30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</si>
</sst>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0.0000"/>
  </numFmts>
  <fonts count="13" x14ac:knownFonts="1">
    <font>
      <sz val="11"/>
      <color theme="1"/>
      <name val="Aptos Narrow"/>
      <family val="2"/>
      <scheme val="minor"/>
    </font>
    <font>
      <sz val="11"/>
      <color theme="1"/>
      <name val="Aptos Narrow"/>
      <family val="2"/>
      <scheme val="minor"/>
    </font>
    <font>
      <b/>
      <sz val="11"/>
      <color rgb="FF3F3F3F"/>
      <name val="Aptos Narrow"/>
      <family val="2"/>
      <scheme val="minor"/>
    </font>
    <font>
      <b/>
      <sz val="11"/>
      <color theme="1"/>
      <name val="Aptos Narrow"/>
      <family val="2"/>
      <charset val="162"/>
      <scheme val="minor"/>
    </font>
    <font>
      <b/>
      <sz val="18"/>
      <color theme="1"/>
      <name val="Aptos Narrow"/>
      <family val="2"/>
      <charset val="162"/>
      <scheme val="minor"/>
    </font>
    <font>
      <sz val="11"/>
      <color rgb="FFFF0000"/>
      <name val="Aptos Narrow"/>
      <family val="2"/>
      <charset val="162"/>
      <scheme val="minor"/>
    </font>
    <font>
      <sz val="11"/>
      <color rgb="FF00B050"/>
      <name val="Aptos Narrow"/>
      <family val="2"/>
      <charset val="162"/>
      <scheme val="minor"/>
    </font>
    <font>
      <b/>
      <sz val="11"/>
      <color rgb="FFC00000"/>
      <name val="Aptos Narrow"/>
      <family val="2"/>
      <charset val="162"/>
      <scheme val="minor"/>
    </font>
    <font>
      <sz val="11"/>
      <color rgb="FFC00000"/>
      <name val="Aptos Narrow"/>
      <family val="2"/>
      <charset val="162"/>
      <scheme val="minor"/>
    </font>
    <font>
      <sz val="11"/>
      <color rgb="FF000000"/>
      <name val="Calibri"/>
      <family val="2"/>
      <charset val="162"/>
    </font>
    <font>
      <sz val="11"/>
      <name val="Aptos Narrow"/>
      <family val="2"/>
      <charset val="162"/>
      <scheme val="minor"/>
    </font>
    <font>
      <i/>
      <sz val="11"/>
      <name val="Aptos Narrow"/>
      <family val="2"/>
      <charset val="162"/>
      <scheme val="minor"/>
    </font>
    <font>
      <sz val="11"/>
      <color theme="1"/>
      <name val="Aptos Narrow"/>
      <family val="2"/>
      <charset val="162"/>
      <scheme val="minor"/>
    </font>
  </fonts>
  <fills count="5">
    <fill>
      <patternFill patternType="none"/>
    </fill>
    <fill>
      <patternFill patternType="gray125"/>
    </fill>
    <fill>
      <patternFill patternType="solid">
        <fgColor rgb="FFF2F2F2"/>
      </patternFill>
    </fill>
    <fill>
      <patternFill patternType="solid">
        <fgColor rgb="FFFFFFCC"/>
      </patternFill>
    </fill>
    <fill>
      <patternFill patternType="solid">
        <fgColor theme="8" tint="0.79998168889431442"/>
        <bgColor indexed="65"/>
      </patternFill>
    </fill>
  </fills>
  <borders count="6">
    <border>
      <left/>
      <right/>
      <top/>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rgb="FF3F3F3F"/>
      </left>
      <right style="thin">
        <color rgb="FF3F3F3F"/>
      </right>
      <top/>
      <bottom style="thin">
        <color rgb="FF3F3F3F"/>
      </bottom>
      <diagonal/>
    </border>
    <border>
      <left style="thin">
        <color rgb="FFB2B2B2"/>
      </left>
      <right/>
      <top/>
      <bottom/>
      <diagonal/>
    </border>
  </borders>
  <cellStyleXfs count="4">
    <xf numFmtId="0" fontId="0" fillId="0" borderId="0"/>
    <xf numFmtId="0" fontId="2" fillId="2" borderId="1" applyNumberFormat="0" applyAlignment="0" applyProtection="0"/>
    <xf numFmtId="0" fontId="1" fillId="3" borderId="2" applyNumberFormat="0" applyFont="0" applyAlignment="0" applyProtection="0"/>
    <xf numFmtId="0" fontId="1" fillId="4" borderId="0" applyNumberFormat="0" applyBorder="0" applyAlignment="0" applyProtection="0"/>
  </cellStyleXfs>
  <cellXfs count="28">
    <xf numFmtId="0" fontId="0" fillId="0" borderId="0" xfId="0"/>
    <xf numFmtId="0" fontId="0" fillId="0" borderId="0" xfId="0" applyAlignment="1">
      <alignment horizontal="center" vertical="center"/>
    </xf>
    <xf numFmtId="0" fontId="2" fillId="2" borderId="4" xfId="1" applyBorder="1" applyAlignment="1">
      <alignment horizontal="center" vertical="center"/>
    </xf>
    <xf numFmtId="0" fontId="2" fillId="2" borderId="1" xfId="1" applyAlignment="1">
      <alignment horizontal="center" vertical="center"/>
    </xf>
    <xf numFmtId="0" fontId="7" fillId="2" borderId="1" xfId="1" applyFont="1" applyAlignment="1">
      <alignment horizontal="center" vertical="center"/>
    </xf>
    <xf numFmtId="0" fontId="8" fillId="0" borderId="0" xfId="0" applyFont="1" applyAlignment="1">
      <alignment horizontal="center" vertical="center"/>
    </xf>
    <xf numFmtId="164" fontId="0" fillId="0" borderId="0" xfId="0" applyNumberFormat="1" applyAlignment="1">
      <alignment horizontal="center" vertical="center"/>
    </xf>
    <xf numFmtId="1" fontId="0" fillId="0" borderId="0" xfId="0" applyNumberFormat="1" applyAlignment="1">
      <alignment horizontal="center" vertical="center"/>
    </xf>
    <xf numFmtId="165" fontId="0" fillId="0" borderId="0" xfId="0" applyNumberFormat="1" applyAlignment="1">
      <alignment horizontal="center" vertical="center"/>
    </xf>
    <xf numFmtId="1" fontId="10" fillId="0" borderId="0" xfId="0" applyNumberFormat="1" applyFont="1" applyAlignment="1">
      <alignment horizontal="center" vertical="center"/>
    </xf>
    <xf numFmtId="164" fontId="10" fillId="0" borderId="0" xfId="0" applyNumberFormat="1" applyFont="1" applyAlignment="1">
      <alignment horizontal="center" vertical="center"/>
    </xf>
    <xf numFmtId="2" fontId="10" fillId="0" borderId="0" xfId="0" applyNumberFormat="1" applyFont="1" applyAlignment="1">
      <alignment horizontal="center" vertical="center"/>
    </xf>
    <xf numFmtId="0" fontId="10" fillId="0" borderId="0" xfId="0" applyFont="1" applyAlignment="1">
      <alignment horizontal="center" vertical="center"/>
    </xf>
    <xf numFmtId="0" fontId="11" fillId="0" borderId="0" xfId="0" applyFont="1" applyAlignment="1">
      <alignment horizontal="center" vertical="center"/>
    </xf>
    <xf numFmtId="166" fontId="11" fillId="0" borderId="0" xfId="0" applyNumberFormat="1" applyFont="1" applyAlignment="1">
      <alignment horizontal="center" vertical="center"/>
    </xf>
    <xf numFmtId="2" fontId="0" fillId="0" borderId="0" xfId="0" applyNumberFormat="1" applyAlignment="1">
      <alignment horizontal="center" vertical="center"/>
    </xf>
    <xf numFmtId="14"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pplyAlignment="1">
      <alignment horizontal="center" vertical="center"/>
    </xf>
    <xf numFmtId="0" fontId="3" fillId="0" borderId="3" xfId="0" applyFont="1" applyBorder="1" applyAlignment="1">
      <alignment horizontal="center" vertical="center"/>
    </xf>
    <xf numFmtId="0" fontId="4" fillId="0" borderId="3" xfId="0" applyFont="1" applyBorder="1" applyAlignment="1">
      <alignment horizontal="center" vertical="center" wrapText="1"/>
    </xf>
    <xf numFmtId="0" fontId="0" fillId="0" borderId="3" xfId="0" applyBorder="1" applyAlignment="1">
      <alignment horizontal="center" vertical="center"/>
    </xf>
    <xf numFmtId="0" fontId="12" fillId="0" borderId="3" xfId="0" applyFont="1" applyBorder="1" applyAlignment="1">
      <alignment horizontal="left" vertical="center" wrapText="1"/>
    </xf>
    <xf numFmtId="0" fontId="0" fillId="0" borderId="3" xfId="0" applyBorder="1" applyAlignment="1">
      <alignment horizontal="left" vertical="center" wrapText="1"/>
    </xf>
    <xf numFmtId="0" fontId="1" fillId="4" borderId="3" xfId="3" applyBorder="1" applyAlignment="1">
      <alignment horizontal="center" vertical="center"/>
    </xf>
    <xf numFmtId="0" fontId="0" fillId="3" borderId="5" xfId="2" applyFont="1" applyBorder="1" applyAlignment="1">
      <alignment horizontal="center" vertical="center" wrapText="1"/>
    </xf>
    <xf numFmtId="0" fontId="0" fillId="3" borderId="0" xfId="2" applyFont="1" applyBorder="1" applyAlignment="1">
      <alignment horizontal="center" vertical="center" wrapText="1"/>
    </xf>
    <xf numFmtId="0" fontId="0" fillId="3" borderId="2" xfId="2" applyFont="1" applyAlignment="1">
      <alignment horizontal="center" vertical="center" wrapText="1"/>
    </xf>
  </cellXfs>
  <cellStyles count="4">
    <cellStyle name="%20 - Vurgu5" xfId="3" builtinId="46"/>
    <cellStyle name="Çıkış" xfId="1" builtinId="21"/>
    <cellStyle name="Normal" xfId="0" builtinId="0"/>
    <cellStyle name="Not" xfId="2" builtinId="10"/>
  </cellStyles>
  <dxfs count="3">
    <dxf>
      <font>
        <color rgb="FF006100"/>
      </font>
      <fill>
        <patternFill>
          <bgColor rgb="FFC6EF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Share (%)</c:v>
          </c:tx>
          <c:spPr>
            <a:solidFill>
              <a:schemeClr val="accent1"/>
            </a:solidFill>
            <a:ln>
              <a:noFill/>
            </a:ln>
            <a:effectLst/>
          </c:spPr>
          <c:invertIfNegative val="0"/>
          <c:cat>
            <c:numRef>
              <c:f>Dist!$G$36:$G$56</c:f>
              <c:numCache>
                <c:formatCode>General</c:formatCode>
                <c:ptCount val="21"/>
                <c:pt idx="0">
                  <c:v>3</c:v>
                </c:pt>
                <c:pt idx="1">
                  <c:v>6</c:v>
                </c:pt>
                <c:pt idx="2">
                  <c:v>9</c:v>
                </c:pt>
                <c:pt idx="3">
                  <c:v>12</c:v>
                </c:pt>
                <c:pt idx="4">
                  <c:v>15</c:v>
                </c:pt>
                <c:pt idx="5">
                  <c:v>18</c:v>
                </c:pt>
                <c:pt idx="6">
                  <c:v>21</c:v>
                </c:pt>
                <c:pt idx="7">
                  <c:v>24</c:v>
                </c:pt>
                <c:pt idx="8">
                  <c:v>27</c:v>
                </c:pt>
                <c:pt idx="9">
                  <c:v>30</c:v>
                </c:pt>
                <c:pt idx="10">
                  <c:v>33</c:v>
                </c:pt>
                <c:pt idx="11">
                  <c:v>36</c:v>
                </c:pt>
                <c:pt idx="12">
                  <c:v>39</c:v>
                </c:pt>
                <c:pt idx="13">
                  <c:v>42</c:v>
                </c:pt>
                <c:pt idx="14">
                  <c:v>45</c:v>
                </c:pt>
                <c:pt idx="15">
                  <c:v>48</c:v>
                </c:pt>
                <c:pt idx="16">
                  <c:v>51</c:v>
                </c:pt>
                <c:pt idx="17">
                  <c:v>54</c:v>
                </c:pt>
                <c:pt idx="18">
                  <c:v>57</c:v>
                </c:pt>
                <c:pt idx="19">
                  <c:v>60</c:v>
                </c:pt>
                <c:pt idx="20">
                  <c:v>90</c:v>
                </c:pt>
              </c:numCache>
            </c:numRef>
          </c:cat>
          <c:val>
            <c:numRef>
              <c:f>Dist!$I$36:$I$56</c:f>
              <c:numCache>
                <c:formatCode>0.00</c:formatCode>
                <c:ptCount val="21"/>
                <c:pt idx="0">
                  <c:v>0</c:v>
                </c:pt>
                <c:pt idx="1">
                  <c:v>13.31738335488437</c:v>
                </c:pt>
                <c:pt idx="2">
                  <c:v>10.570418506901854</c:v>
                </c:pt>
                <c:pt idx="3">
                  <c:v>13.78899619690627</c:v>
                </c:pt>
                <c:pt idx="4">
                  <c:v>20.073427499149922</c:v>
                </c:pt>
                <c:pt idx="5">
                  <c:v>14.781726610163249</c:v>
                </c:pt>
                <c:pt idx="6">
                  <c:v>6.9837672296641635</c:v>
                </c:pt>
                <c:pt idx="7">
                  <c:v>4.7491262260893823</c:v>
                </c:pt>
                <c:pt idx="8">
                  <c:v>8.369417949598903</c:v>
                </c:pt>
                <c:pt idx="9">
                  <c:v>4.4758173626870574</c:v>
                </c:pt>
                <c:pt idx="10">
                  <c:v>2.8899190639548218</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00-A5F1-44D7-B490-C33EDBAD5D25}"/>
            </c:ext>
          </c:extLst>
        </c:ser>
        <c:dLbls>
          <c:showLegendKey val="0"/>
          <c:showVal val="0"/>
          <c:showCatName val="0"/>
          <c:showSerName val="0"/>
          <c:showPercent val="0"/>
          <c:showBubbleSize val="0"/>
        </c:dLbls>
        <c:gapWidth val="219"/>
        <c:overlap val="-27"/>
        <c:axId val="532123215"/>
        <c:axId val="532123631"/>
      </c:barChart>
      <c:catAx>
        <c:axId val="53212321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tr-TR"/>
                  <a:t>Travel Time (min)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tr-T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532123631"/>
        <c:crosses val="autoZero"/>
        <c:auto val="1"/>
        <c:lblAlgn val="ctr"/>
        <c:lblOffset val="100"/>
        <c:noMultiLvlLbl val="0"/>
      </c:catAx>
      <c:valAx>
        <c:axId val="5321236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tr-TR"/>
                  <a:t>Demand Share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tr-TR"/>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5321232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tx1"/>
      </a:solidFill>
      <a:round/>
    </a:ln>
    <a:effectLst/>
  </c:spPr>
  <c:txPr>
    <a:bodyPr/>
    <a:lstStyle/>
    <a:p>
      <a:pPr>
        <a:defRPr/>
      </a:pPr>
      <a:endParaRPr lang="tr-T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Share (%)</c:v>
          </c:tx>
          <c:spPr>
            <a:solidFill>
              <a:schemeClr val="accent1"/>
            </a:solidFill>
            <a:ln>
              <a:noFill/>
            </a:ln>
            <a:effectLst/>
          </c:spPr>
          <c:invertIfNegative val="0"/>
          <c:cat>
            <c:numRef>
              <c:f>Dist!$Y$36:$Y$56</c:f>
              <c:numCache>
                <c:formatCode>General</c:formatCode>
                <c:ptCount val="21"/>
                <c:pt idx="0">
                  <c:v>3</c:v>
                </c:pt>
                <c:pt idx="1">
                  <c:v>6</c:v>
                </c:pt>
                <c:pt idx="2">
                  <c:v>9</c:v>
                </c:pt>
                <c:pt idx="3">
                  <c:v>12</c:v>
                </c:pt>
                <c:pt idx="4">
                  <c:v>15</c:v>
                </c:pt>
                <c:pt idx="5">
                  <c:v>18</c:v>
                </c:pt>
                <c:pt idx="6">
                  <c:v>21</c:v>
                </c:pt>
                <c:pt idx="7">
                  <c:v>24</c:v>
                </c:pt>
                <c:pt idx="8">
                  <c:v>27</c:v>
                </c:pt>
                <c:pt idx="9">
                  <c:v>30</c:v>
                </c:pt>
                <c:pt idx="10">
                  <c:v>33</c:v>
                </c:pt>
                <c:pt idx="11">
                  <c:v>36</c:v>
                </c:pt>
                <c:pt idx="12">
                  <c:v>39</c:v>
                </c:pt>
                <c:pt idx="13">
                  <c:v>42</c:v>
                </c:pt>
                <c:pt idx="14">
                  <c:v>45</c:v>
                </c:pt>
                <c:pt idx="15">
                  <c:v>48</c:v>
                </c:pt>
                <c:pt idx="16">
                  <c:v>51</c:v>
                </c:pt>
                <c:pt idx="17">
                  <c:v>54</c:v>
                </c:pt>
                <c:pt idx="18">
                  <c:v>57</c:v>
                </c:pt>
                <c:pt idx="19">
                  <c:v>60</c:v>
                </c:pt>
                <c:pt idx="20">
                  <c:v>90</c:v>
                </c:pt>
              </c:numCache>
            </c:numRef>
          </c:cat>
          <c:val>
            <c:numRef>
              <c:f>Dist!$AA$36:$AA$56</c:f>
              <c:numCache>
                <c:formatCode>0.00</c:formatCode>
                <c:ptCount val="21"/>
                <c:pt idx="0">
                  <c:v>0</c:v>
                </c:pt>
                <c:pt idx="1">
                  <c:v>15.780226011210216</c:v>
                </c:pt>
                <c:pt idx="2">
                  <c:v>11.533637528897382</c:v>
                </c:pt>
                <c:pt idx="3">
                  <c:v>14.718718432828151</c:v>
                </c:pt>
                <c:pt idx="4">
                  <c:v>21.891902361336008</c:v>
                </c:pt>
                <c:pt idx="5">
                  <c:v>13.978007403845725</c:v>
                </c:pt>
                <c:pt idx="6">
                  <c:v>6.1688056500226667</c:v>
                </c:pt>
                <c:pt idx="7">
                  <c:v>4.1419618478545779</c:v>
                </c:pt>
                <c:pt idx="8">
                  <c:v>6.4805289305949714</c:v>
                </c:pt>
                <c:pt idx="9">
                  <c:v>3.4055636492828127</c:v>
                </c:pt>
                <c:pt idx="10">
                  <c:v>1.9006481841274736</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00-9756-4B7F-A5F6-17C19100A43F}"/>
            </c:ext>
          </c:extLst>
        </c:ser>
        <c:dLbls>
          <c:showLegendKey val="0"/>
          <c:showVal val="0"/>
          <c:showCatName val="0"/>
          <c:showSerName val="0"/>
          <c:showPercent val="0"/>
          <c:showBubbleSize val="0"/>
        </c:dLbls>
        <c:gapWidth val="219"/>
        <c:overlap val="-27"/>
        <c:axId val="532123215"/>
        <c:axId val="532123631"/>
      </c:barChart>
      <c:catAx>
        <c:axId val="53212321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tr-TR"/>
                  <a:t>Travel Time (min)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tr-T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532123631"/>
        <c:crosses val="autoZero"/>
        <c:auto val="1"/>
        <c:lblAlgn val="ctr"/>
        <c:lblOffset val="100"/>
        <c:noMultiLvlLbl val="0"/>
      </c:catAx>
      <c:valAx>
        <c:axId val="5321236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tr-TR"/>
                  <a:t>Demand Share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tr-TR"/>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5321232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tx1"/>
      </a:solidFill>
      <a:round/>
    </a:ln>
    <a:effectLst/>
  </c:spPr>
  <c:txPr>
    <a:bodyPr/>
    <a:lstStyle/>
    <a:p>
      <a:pPr>
        <a:defRPr/>
      </a:pPr>
      <a:endParaRPr lang="tr-T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5.jpg"/><Relationship Id="rId2" Type="http://schemas.microsoft.com/office/2007/relationships/hdphoto" Target="../media/hdphoto1.wdp"/><Relationship Id="rId1" Type="http://schemas.openxmlformats.org/officeDocument/2006/relationships/image" Target="../media/image4.png"/><Relationship Id="rId6" Type="http://schemas.openxmlformats.org/officeDocument/2006/relationships/image" Target="../media/image8.jpg"/><Relationship Id="rId5" Type="http://schemas.openxmlformats.org/officeDocument/2006/relationships/image" Target="../media/image7.jpg"/><Relationship Id="rId4" Type="http://schemas.openxmlformats.org/officeDocument/2006/relationships/image" Target="../media/image6.jpg"/></Relationships>
</file>

<file path=xl/drawings/drawing1.xml><?xml version="1.0" encoding="utf-8"?>
<xdr:wsDr xmlns:xdr="http://schemas.openxmlformats.org/drawingml/2006/spreadsheetDrawing" xmlns:a="http://schemas.openxmlformats.org/drawingml/2006/main">
  <xdr:twoCellAnchor editAs="oneCell">
    <xdr:from>
      <xdr:col>11</xdr:col>
      <xdr:colOff>312963</xdr:colOff>
      <xdr:row>0</xdr:row>
      <xdr:rowOff>74839</xdr:rowOff>
    </xdr:from>
    <xdr:to>
      <xdr:col>12</xdr:col>
      <xdr:colOff>407614</xdr:colOff>
      <xdr:row>3</xdr:row>
      <xdr:rowOff>150246</xdr:rowOff>
    </xdr:to>
    <xdr:pic>
      <xdr:nvPicPr>
        <xdr:cNvPr id="2" name="Resim 1">
          <a:extLst>
            <a:ext uri="{FF2B5EF4-FFF2-40B4-BE49-F238E27FC236}">
              <a16:creationId xmlns:a16="http://schemas.microsoft.com/office/drawing/2014/main" id="{AD1F9AEF-4A81-42C2-B9C2-B1B6310EDB5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280446" y="74839"/>
          <a:ext cx="706972" cy="626497"/>
        </a:xfrm>
        <a:prstGeom prst="rect">
          <a:avLst/>
        </a:prstGeom>
      </xdr:spPr>
    </xdr:pic>
    <xdr:clientData/>
  </xdr:twoCellAnchor>
  <xdr:twoCellAnchor editAs="oneCell">
    <xdr:from>
      <xdr:col>14</xdr:col>
      <xdr:colOff>0</xdr:colOff>
      <xdr:row>0</xdr:row>
      <xdr:rowOff>1</xdr:rowOff>
    </xdr:from>
    <xdr:to>
      <xdr:col>21</xdr:col>
      <xdr:colOff>555367</xdr:colOff>
      <xdr:row>38</xdr:row>
      <xdr:rowOff>1</xdr:rowOff>
    </xdr:to>
    <xdr:pic>
      <xdr:nvPicPr>
        <xdr:cNvPr id="5" name="Resim 4">
          <a:extLst>
            <a:ext uri="{FF2B5EF4-FFF2-40B4-BE49-F238E27FC236}">
              <a16:creationId xmlns:a16="http://schemas.microsoft.com/office/drawing/2014/main" id="{1FFDB39D-CF36-7DF0-ACC2-6FB6BE456DC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920107" y="1"/>
          <a:ext cx="4936867" cy="6980464"/>
        </a:xfrm>
        <a:prstGeom prst="rect">
          <a:avLst/>
        </a:prstGeom>
        <a:ln w="6350">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21</xdr:row>
          <xdr:rowOff>19050</xdr:rowOff>
        </xdr:from>
        <xdr:to>
          <xdr:col>3</xdr:col>
          <xdr:colOff>376238</xdr:colOff>
          <xdr:row>23</xdr:row>
          <xdr:rowOff>147638</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Clear NetNum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25</xdr:row>
          <xdr:rowOff>33338</xdr:rowOff>
        </xdr:from>
        <xdr:to>
          <xdr:col>3</xdr:col>
          <xdr:colOff>376238</xdr:colOff>
          <xdr:row>27</xdr:row>
          <xdr:rowOff>176213</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Read Network</a:t>
              </a:r>
            </a:p>
          </xdr:txBody>
        </xdr:sp>
        <xdr:clientData fPrintsWithSheet="0"/>
      </xdr:twoCellAnchor>
    </mc:Choice>
    <mc:Fallback/>
  </mc:AlternateContent>
  <xdr:twoCellAnchor editAs="oneCell">
    <xdr:from>
      <xdr:col>23</xdr:col>
      <xdr:colOff>30182</xdr:colOff>
      <xdr:row>0</xdr:row>
      <xdr:rowOff>0</xdr:rowOff>
    </xdr:from>
    <xdr:to>
      <xdr:col>30</xdr:col>
      <xdr:colOff>598715</xdr:colOff>
      <xdr:row>20</xdr:row>
      <xdr:rowOff>136071</xdr:rowOff>
    </xdr:to>
    <xdr:pic>
      <xdr:nvPicPr>
        <xdr:cNvPr id="2" name="Resim 1">
          <a:extLst>
            <a:ext uri="{FF2B5EF4-FFF2-40B4-BE49-F238E27FC236}">
              <a16:creationId xmlns:a16="http://schemas.microsoft.com/office/drawing/2014/main" id="{BF273139-A2F6-46D8-BF92-10643AC09A8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68646" y="0"/>
          <a:ext cx="4773140" cy="3810000"/>
        </a:xfrm>
        <a:prstGeom prst="rect">
          <a:avLst/>
        </a:prstGeom>
        <a:ln w="6350">
          <a:solidFill>
            <a:schemeClr val="tx1"/>
          </a:solidFill>
        </a:ln>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14</xdr:row>
          <xdr:rowOff>14288</xdr:rowOff>
        </xdr:from>
        <xdr:to>
          <xdr:col>4</xdr:col>
          <xdr:colOff>0</xdr:colOff>
          <xdr:row>16</xdr:row>
          <xdr:rowOff>171450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Clear Attributes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18</xdr:row>
          <xdr:rowOff>14288</xdr:rowOff>
        </xdr:from>
        <xdr:to>
          <xdr:col>4</xdr:col>
          <xdr:colOff>0</xdr:colOff>
          <xdr:row>20</xdr:row>
          <xdr:rowOff>166688</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Random Attributes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37</xdr:row>
          <xdr:rowOff>0</xdr:rowOff>
        </xdr:from>
        <xdr:to>
          <xdr:col>3</xdr:col>
          <xdr:colOff>381000</xdr:colOff>
          <xdr:row>39</xdr:row>
          <xdr:rowOff>142875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Balance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29</xdr:row>
          <xdr:rowOff>0</xdr:rowOff>
        </xdr:from>
        <xdr:to>
          <xdr:col>3</xdr:col>
          <xdr:colOff>381000</xdr:colOff>
          <xdr:row>31</xdr:row>
          <xdr:rowOff>133350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Clear Util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32</xdr:row>
          <xdr:rowOff>171450</xdr:rowOff>
        </xdr:from>
        <xdr:to>
          <xdr:col>3</xdr:col>
          <xdr:colOff>381000</xdr:colOff>
          <xdr:row>35</xdr:row>
          <xdr:rowOff>166688</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Random Util</a:t>
              </a:r>
            </a:p>
          </xdr:txBody>
        </xdr:sp>
        <xdr:clientData fPrintsWithSheet="0"/>
      </xdr:twoCellAnchor>
    </mc:Choice>
    <mc:Fallback/>
  </mc:AlternateContent>
  <xdr:twoCellAnchor>
    <xdr:from>
      <xdr:col>10</xdr:col>
      <xdr:colOff>0</xdr:colOff>
      <xdr:row>33</xdr:row>
      <xdr:rowOff>167552</xdr:rowOff>
    </xdr:from>
    <xdr:to>
      <xdr:col>21</xdr:col>
      <xdr:colOff>542637</xdr:colOff>
      <xdr:row>55</xdr:row>
      <xdr:rowOff>179098</xdr:rowOff>
    </xdr:to>
    <xdr:graphicFrame macro="">
      <xdr:nvGraphicFramePr>
        <xdr:cNvPr id="2" name="Grafik 1">
          <a:extLst>
            <a:ext uri="{FF2B5EF4-FFF2-40B4-BE49-F238E27FC236}">
              <a16:creationId xmlns:a16="http://schemas.microsoft.com/office/drawing/2014/main" id="{C2754575-342D-40CD-9F0A-D8B4511CC6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33</xdr:row>
      <xdr:rowOff>167552</xdr:rowOff>
    </xdr:from>
    <xdr:to>
      <xdr:col>39</xdr:col>
      <xdr:colOff>542637</xdr:colOff>
      <xdr:row>55</xdr:row>
      <xdr:rowOff>179098</xdr:rowOff>
    </xdr:to>
    <xdr:graphicFrame macro="">
      <xdr:nvGraphicFramePr>
        <xdr:cNvPr id="3" name="Grafik 2">
          <a:extLst>
            <a:ext uri="{FF2B5EF4-FFF2-40B4-BE49-F238E27FC236}">
              <a16:creationId xmlns:a16="http://schemas.microsoft.com/office/drawing/2014/main" id="{ABC13ABC-D7C9-46D6-9866-B0A5824F6A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32</xdr:row>
          <xdr:rowOff>14288</xdr:rowOff>
        </xdr:from>
        <xdr:to>
          <xdr:col>3</xdr:col>
          <xdr:colOff>395288</xdr:colOff>
          <xdr:row>34</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Clear Parameters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36</xdr:row>
          <xdr:rowOff>14288</xdr:rowOff>
        </xdr:from>
        <xdr:to>
          <xdr:col>3</xdr:col>
          <xdr:colOff>381000</xdr:colOff>
          <xdr:row>38</xdr:row>
          <xdr:rowOff>157163</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Random Parameters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14</xdr:row>
          <xdr:rowOff>19050</xdr:rowOff>
        </xdr:from>
        <xdr:to>
          <xdr:col>3</xdr:col>
          <xdr:colOff>385763</xdr:colOff>
          <xdr:row>16</xdr:row>
          <xdr:rowOff>176213</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Clear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18</xdr:row>
          <xdr:rowOff>4763</xdr:rowOff>
        </xdr:from>
        <xdr:to>
          <xdr:col>3</xdr:col>
          <xdr:colOff>381000</xdr:colOff>
          <xdr:row>20</xdr:row>
          <xdr:rowOff>171450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Random Factors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17</xdr:row>
          <xdr:rowOff>33338</xdr:rowOff>
        </xdr:from>
        <xdr:to>
          <xdr:col>3</xdr:col>
          <xdr:colOff>900113</xdr:colOff>
          <xdr:row>19</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Update Link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xdr:row>
          <xdr:rowOff>14288</xdr:rowOff>
        </xdr:from>
        <xdr:to>
          <xdr:col>3</xdr:col>
          <xdr:colOff>890588</xdr:colOff>
          <xdr:row>15</xdr:row>
          <xdr:rowOff>152400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Clear Links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8</xdr:row>
          <xdr:rowOff>23813</xdr:rowOff>
        </xdr:from>
        <xdr:to>
          <xdr:col>3</xdr:col>
          <xdr:colOff>357188</xdr:colOff>
          <xdr:row>10</xdr:row>
          <xdr:rowOff>152400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800-000001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Clear Routes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19050</xdr:rowOff>
        </xdr:from>
        <xdr:to>
          <xdr:col>3</xdr:col>
          <xdr:colOff>361950</xdr:colOff>
          <xdr:row>14</xdr:row>
          <xdr:rowOff>147638</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800-000002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Find Paths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14288</xdr:rowOff>
        </xdr:from>
        <xdr:to>
          <xdr:col>3</xdr:col>
          <xdr:colOff>381000</xdr:colOff>
          <xdr:row>7</xdr:row>
          <xdr:rowOff>157163</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Clear Volumes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xdr:row>
          <xdr:rowOff>14288</xdr:rowOff>
        </xdr:from>
        <xdr:to>
          <xdr:col>3</xdr:col>
          <xdr:colOff>381000</xdr:colOff>
          <xdr:row>11</xdr:row>
          <xdr:rowOff>157163</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900-000002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Load AON</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14288</xdr:rowOff>
        </xdr:from>
        <xdr:to>
          <xdr:col>3</xdr:col>
          <xdr:colOff>381000</xdr:colOff>
          <xdr:row>9</xdr:row>
          <xdr:rowOff>157163</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A00-0000012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Clear Assignment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xdr:row>
          <xdr:rowOff>14288</xdr:rowOff>
        </xdr:from>
        <xdr:to>
          <xdr:col>3</xdr:col>
          <xdr:colOff>381000</xdr:colOff>
          <xdr:row>13</xdr:row>
          <xdr:rowOff>171450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A00-0000022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Incramental Assignment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11</xdr:row>
          <xdr:rowOff>14288</xdr:rowOff>
        </xdr:from>
        <xdr:to>
          <xdr:col>3</xdr:col>
          <xdr:colOff>381000</xdr:colOff>
          <xdr:row>13</xdr:row>
          <xdr:rowOff>157163</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B00-00000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Clear to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19</xdr:row>
          <xdr:rowOff>14288</xdr:rowOff>
        </xdr:from>
        <xdr:to>
          <xdr:col>3</xdr:col>
          <xdr:colOff>381000</xdr:colOff>
          <xdr:row>21</xdr:row>
          <xdr:rowOff>157163</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B00-000002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Draw by Last Assignment Volumes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9525</xdr:rowOff>
        </xdr:from>
        <xdr:to>
          <xdr:col>3</xdr:col>
          <xdr:colOff>381000</xdr:colOff>
          <xdr:row>17</xdr:row>
          <xdr:rowOff>157163</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B00-000003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Draw by Link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23</xdr:row>
          <xdr:rowOff>19050</xdr:rowOff>
        </xdr:from>
        <xdr:to>
          <xdr:col>3</xdr:col>
          <xdr:colOff>390525</xdr:colOff>
          <xdr:row>25</xdr:row>
          <xdr:rowOff>157163</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B00-000004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Draw by Volume/Capacity</a:t>
              </a:r>
            </a:p>
          </xdr:txBody>
        </xdr:sp>
        <xdr:clientData fPrintsWithSheet="0"/>
      </xdr:twoCellAnchor>
    </mc:Choice>
    <mc:Fallback/>
  </mc:AlternateContent>
  <xdr:twoCellAnchor>
    <xdr:from>
      <xdr:col>15</xdr:col>
      <xdr:colOff>42430</xdr:colOff>
      <xdr:row>0</xdr:row>
      <xdr:rowOff>0</xdr:rowOff>
    </xdr:from>
    <xdr:to>
      <xdr:col>38</xdr:col>
      <xdr:colOff>580160</xdr:colOff>
      <xdr:row>53</xdr:row>
      <xdr:rowOff>138545</xdr:rowOff>
    </xdr:to>
    <xdr:pic>
      <xdr:nvPicPr>
        <xdr:cNvPr id="2" name="Resim 1">
          <a:extLst>
            <a:ext uri="{FF2B5EF4-FFF2-40B4-BE49-F238E27FC236}">
              <a16:creationId xmlns:a16="http://schemas.microsoft.com/office/drawing/2014/main" id="{04CE073D-19EC-4C38-9E41-98303144C00B}"/>
            </a:ext>
          </a:extLst>
        </xdr:cNvPr>
        <xdr:cNvPicPr>
          <a:picLocks noChangeAspect="1"/>
        </xdr:cNvPicPr>
      </xdr:nvPicPr>
      <xdr:blipFill>
        <a:blip xmlns:r="http://schemas.openxmlformats.org/officeDocument/2006/relationships" r:embed="rId1">
          <a:alphaModFix/>
          <a:lum bright="70000" contrast="-70000"/>
          <a:extLst>
            <a:ext uri="{BEBA8EAE-BF5A-486C-A8C5-ECC9F3942E4B}">
              <a14:imgProps xmlns:a14="http://schemas.microsoft.com/office/drawing/2010/main">
                <a14:imgLayer r:embed="rId2">
                  <a14:imgEffect>
                    <a14:colorTemperature colorTemp="7200"/>
                  </a14:imgEffect>
                  <a14:imgEffect>
                    <a14:brightnessContrast bright="-20000" contrast="40000"/>
                  </a14:imgEffect>
                </a14:imgLayer>
              </a14:imgProps>
            </a:ext>
            <a:ext uri="{28A0092B-C50C-407E-A947-70E740481C1C}">
              <a14:useLocalDpi xmlns:a14="http://schemas.microsoft.com/office/drawing/2010/main" val="0"/>
            </a:ext>
          </a:extLst>
        </a:blip>
        <a:stretch>
          <a:fillRect/>
        </a:stretch>
      </xdr:blipFill>
      <xdr:spPr>
        <a:xfrm>
          <a:off x="8978612" y="0"/>
          <a:ext cx="14877184" cy="9776114"/>
        </a:xfrm>
        <a:prstGeom prst="rect">
          <a:avLst/>
        </a:prstGeom>
        <a:ln w="12700">
          <a:solidFill>
            <a:schemeClr val="tx1"/>
          </a:solidFill>
        </a:ln>
      </xdr:spPr>
    </xdr:pic>
    <xdr:clientData/>
  </xdr:twoCellAnchor>
  <xdr:twoCellAnchor>
    <xdr:from>
      <xdr:col>16</xdr:col>
      <xdr:colOff>51747</xdr:colOff>
      <xdr:row>3</xdr:row>
      <xdr:rowOff>158498</xdr:rowOff>
    </xdr:from>
    <xdr:to>
      <xdr:col>17</xdr:col>
      <xdr:colOff>321998</xdr:colOff>
      <xdr:row>7</xdr:row>
      <xdr:rowOff>100127</xdr:rowOff>
    </xdr:to>
    <xdr:cxnSp macro="">
      <xdr:nvCxnSpPr>
        <xdr:cNvPr id="3" name="Link 1">
          <a:extLst>
            <a:ext uri="{FF2B5EF4-FFF2-40B4-BE49-F238E27FC236}">
              <a16:creationId xmlns:a16="http://schemas.microsoft.com/office/drawing/2014/main" id="{A0F9BBFD-1E60-4E5A-A7DF-93EA0AF4D074}"/>
            </a:ext>
          </a:extLst>
        </xdr:cNvPr>
        <xdr:cNvCxnSpPr>
          <a:stCxn id="12406" idx="2"/>
          <a:endCxn id="12398" idx="2"/>
        </xdr:cNvCxnSpPr>
      </xdr:nvCxnSpPr>
      <xdr:spPr>
        <a:xfrm>
          <a:off x="9611383" y="704022"/>
          <a:ext cx="893706" cy="668992"/>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51747</xdr:colOff>
      <xdr:row>1</xdr:row>
      <xdr:rowOff>134649</xdr:rowOff>
    </xdr:from>
    <xdr:to>
      <xdr:col>17</xdr:col>
      <xdr:colOff>321998</xdr:colOff>
      <xdr:row>5</xdr:row>
      <xdr:rowOff>76279</xdr:rowOff>
    </xdr:to>
    <xdr:cxnSp macro="">
      <xdr:nvCxnSpPr>
        <xdr:cNvPr id="4" name="Link 9">
          <a:extLst>
            <a:ext uri="{FF2B5EF4-FFF2-40B4-BE49-F238E27FC236}">
              <a16:creationId xmlns:a16="http://schemas.microsoft.com/office/drawing/2014/main" id="{1247C596-33CB-4CFD-B413-B407967E0FF4}"/>
            </a:ext>
          </a:extLst>
        </xdr:cNvPr>
        <xdr:cNvCxnSpPr>
          <a:stCxn id="12398" idx="0"/>
          <a:endCxn id="12406" idx="0"/>
        </xdr:cNvCxnSpPr>
      </xdr:nvCxnSpPr>
      <xdr:spPr>
        <a:xfrm flipH="1" flipV="1">
          <a:off x="9611383" y="316491"/>
          <a:ext cx="893706" cy="668993"/>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321998</xdr:colOff>
      <xdr:row>7</xdr:row>
      <xdr:rowOff>96453</xdr:rowOff>
    </xdr:from>
    <xdr:to>
      <xdr:col>19</xdr:col>
      <xdr:colOff>74371</xdr:colOff>
      <xdr:row>7</xdr:row>
      <xdr:rowOff>100127</xdr:rowOff>
    </xdr:to>
    <xdr:cxnSp macro="">
      <xdr:nvCxnSpPr>
        <xdr:cNvPr id="5" name="Link 10">
          <a:extLst>
            <a:ext uri="{FF2B5EF4-FFF2-40B4-BE49-F238E27FC236}">
              <a16:creationId xmlns:a16="http://schemas.microsoft.com/office/drawing/2014/main" id="{E624817D-E213-4DA2-9047-2FFC9F5F20E4}"/>
            </a:ext>
          </a:extLst>
        </xdr:cNvPr>
        <xdr:cNvCxnSpPr>
          <a:stCxn id="12398" idx="2"/>
          <a:endCxn id="12397" idx="2"/>
        </xdr:cNvCxnSpPr>
      </xdr:nvCxnSpPr>
      <xdr:spPr>
        <a:xfrm flipV="1">
          <a:off x="10505089" y="1369340"/>
          <a:ext cx="999282" cy="3674"/>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321998</xdr:colOff>
      <xdr:row>5</xdr:row>
      <xdr:rowOff>71822</xdr:rowOff>
    </xdr:from>
    <xdr:to>
      <xdr:col>19</xdr:col>
      <xdr:colOff>74371</xdr:colOff>
      <xdr:row>5</xdr:row>
      <xdr:rowOff>76279</xdr:rowOff>
    </xdr:to>
    <xdr:cxnSp macro="">
      <xdr:nvCxnSpPr>
        <xdr:cNvPr id="6" name="Link 13">
          <a:extLst>
            <a:ext uri="{FF2B5EF4-FFF2-40B4-BE49-F238E27FC236}">
              <a16:creationId xmlns:a16="http://schemas.microsoft.com/office/drawing/2014/main" id="{8F72A84E-F77B-4257-B7AC-5D68AC2EB83B}"/>
            </a:ext>
          </a:extLst>
        </xdr:cNvPr>
        <xdr:cNvCxnSpPr>
          <a:stCxn id="12397" idx="0"/>
          <a:endCxn id="12398" idx="0"/>
        </xdr:cNvCxnSpPr>
      </xdr:nvCxnSpPr>
      <xdr:spPr>
        <a:xfrm flipH="1">
          <a:off x="10505089" y="981027"/>
          <a:ext cx="999282" cy="4457"/>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494188</xdr:colOff>
      <xdr:row>2</xdr:row>
      <xdr:rowOff>146747</xdr:rowOff>
    </xdr:from>
    <xdr:to>
      <xdr:col>18</xdr:col>
      <xdr:colOff>498086</xdr:colOff>
      <xdr:row>6</xdr:row>
      <xdr:rowOff>84139</xdr:rowOff>
    </xdr:to>
    <xdr:cxnSp macro="">
      <xdr:nvCxnSpPr>
        <xdr:cNvPr id="7" name="Link 2">
          <a:extLst>
            <a:ext uri="{FF2B5EF4-FFF2-40B4-BE49-F238E27FC236}">
              <a16:creationId xmlns:a16="http://schemas.microsoft.com/office/drawing/2014/main" id="{2F277F04-D054-4917-AFD0-FAAE0D30D128}"/>
            </a:ext>
          </a:extLst>
        </xdr:cNvPr>
        <xdr:cNvCxnSpPr>
          <a:stCxn id="12405" idx="1"/>
          <a:endCxn id="12397" idx="1"/>
        </xdr:cNvCxnSpPr>
      </xdr:nvCxnSpPr>
      <xdr:spPr>
        <a:xfrm>
          <a:off x="11300733" y="510429"/>
          <a:ext cx="3898" cy="664755"/>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270212</xdr:colOff>
      <xdr:row>2</xdr:row>
      <xdr:rowOff>146747</xdr:rowOff>
    </xdr:from>
    <xdr:to>
      <xdr:col>19</xdr:col>
      <xdr:colOff>274110</xdr:colOff>
      <xdr:row>6</xdr:row>
      <xdr:rowOff>84139</xdr:rowOff>
    </xdr:to>
    <xdr:cxnSp macro="">
      <xdr:nvCxnSpPr>
        <xdr:cNvPr id="8" name="Link 12">
          <a:extLst>
            <a:ext uri="{FF2B5EF4-FFF2-40B4-BE49-F238E27FC236}">
              <a16:creationId xmlns:a16="http://schemas.microsoft.com/office/drawing/2014/main" id="{616D8E92-B8C9-4A84-9920-313B39962D08}"/>
            </a:ext>
          </a:extLst>
        </xdr:cNvPr>
        <xdr:cNvCxnSpPr>
          <a:stCxn id="12405" idx="3"/>
          <a:endCxn id="12397" idx="3"/>
        </xdr:cNvCxnSpPr>
      </xdr:nvCxnSpPr>
      <xdr:spPr>
        <a:xfrm>
          <a:off x="11700212" y="510429"/>
          <a:ext cx="3898" cy="664755"/>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74371</xdr:colOff>
      <xdr:row>5</xdr:row>
      <xdr:rowOff>71822</xdr:rowOff>
    </xdr:from>
    <xdr:to>
      <xdr:col>22</xdr:col>
      <xdr:colOff>94935</xdr:colOff>
      <xdr:row>5</xdr:row>
      <xdr:rowOff>74221</xdr:rowOff>
    </xdr:to>
    <xdr:cxnSp macro="">
      <xdr:nvCxnSpPr>
        <xdr:cNvPr id="9" name="Link 16">
          <a:extLst>
            <a:ext uri="{FF2B5EF4-FFF2-40B4-BE49-F238E27FC236}">
              <a16:creationId xmlns:a16="http://schemas.microsoft.com/office/drawing/2014/main" id="{CE6918D2-A822-4F0A-9486-D2A9E1418D26}"/>
            </a:ext>
          </a:extLst>
        </xdr:cNvPr>
        <xdr:cNvCxnSpPr>
          <a:stCxn id="12397" idx="0"/>
          <a:endCxn id="12396" idx="0"/>
        </xdr:cNvCxnSpPr>
      </xdr:nvCxnSpPr>
      <xdr:spPr>
        <a:xfrm>
          <a:off x="11504371" y="981027"/>
          <a:ext cx="1890928" cy="2399"/>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74371</xdr:colOff>
      <xdr:row>7</xdr:row>
      <xdr:rowOff>96453</xdr:rowOff>
    </xdr:from>
    <xdr:to>
      <xdr:col>22</xdr:col>
      <xdr:colOff>94935</xdr:colOff>
      <xdr:row>7</xdr:row>
      <xdr:rowOff>98069</xdr:rowOff>
    </xdr:to>
    <xdr:cxnSp macro="">
      <xdr:nvCxnSpPr>
        <xdr:cNvPr id="10" name="Link 14">
          <a:extLst>
            <a:ext uri="{FF2B5EF4-FFF2-40B4-BE49-F238E27FC236}">
              <a16:creationId xmlns:a16="http://schemas.microsoft.com/office/drawing/2014/main" id="{A0B96439-6F60-402E-B0EF-C8259558CDDB}"/>
            </a:ext>
          </a:extLst>
        </xdr:cNvPr>
        <xdr:cNvCxnSpPr>
          <a:stCxn id="12397" idx="2"/>
          <a:endCxn id="12396" idx="2"/>
        </xdr:cNvCxnSpPr>
      </xdr:nvCxnSpPr>
      <xdr:spPr>
        <a:xfrm>
          <a:off x="11504371" y="1369340"/>
          <a:ext cx="1890928" cy="1616"/>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94935</xdr:colOff>
      <xdr:row>5</xdr:row>
      <xdr:rowOff>73705</xdr:rowOff>
    </xdr:from>
    <xdr:to>
      <xdr:col>25</xdr:col>
      <xdr:colOff>12685</xdr:colOff>
      <xdr:row>5</xdr:row>
      <xdr:rowOff>74221</xdr:rowOff>
    </xdr:to>
    <xdr:cxnSp macro="">
      <xdr:nvCxnSpPr>
        <xdr:cNvPr id="11" name="Link 19">
          <a:extLst>
            <a:ext uri="{FF2B5EF4-FFF2-40B4-BE49-F238E27FC236}">
              <a16:creationId xmlns:a16="http://schemas.microsoft.com/office/drawing/2014/main" id="{E16A76CA-67D2-4BF0-A367-67DB95CAA961}"/>
            </a:ext>
          </a:extLst>
        </xdr:cNvPr>
        <xdr:cNvCxnSpPr>
          <a:stCxn id="12396" idx="0"/>
          <a:endCxn id="12395" idx="0"/>
        </xdr:cNvCxnSpPr>
      </xdr:nvCxnSpPr>
      <xdr:spPr>
        <a:xfrm flipV="1">
          <a:off x="13395299" y="982910"/>
          <a:ext cx="1788113" cy="516"/>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94935</xdr:colOff>
      <xdr:row>7</xdr:row>
      <xdr:rowOff>97553</xdr:rowOff>
    </xdr:from>
    <xdr:to>
      <xdr:col>25</xdr:col>
      <xdr:colOff>12685</xdr:colOff>
      <xdr:row>7</xdr:row>
      <xdr:rowOff>98069</xdr:rowOff>
    </xdr:to>
    <xdr:cxnSp macro="">
      <xdr:nvCxnSpPr>
        <xdr:cNvPr id="12" name="Link 17">
          <a:extLst>
            <a:ext uri="{FF2B5EF4-FFF2-40B4-BE49-F238E27FC236}">
              <a16:creationId xmlns:a16="http://schemas.microsoft.com/office/drawing/2014/main" id="{65D2DDA3-ED04-4E38-B167-210165F495B2}"/>
            </a:ext>
          </a:extLst>
        </xdr:cNvPr>
        <xdr:cNvCxnSpPr>
          <a:stCxn id="12396" idx="2"/>
          <a:endCxn id="12395" idx="2"/>
        </xdr:cNvCxnSpPr>
      </xdr:nvCxnSpPr>
      <xdr:spPr>
        <a:xfrm flipV="1">
          <a:off x="13395299" y="1370440"/>
          <a:ext cx="1788113" cy="516"/>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12685</xdr:colOff>
      <xdr:row>5</xdr:row>
      <xdr:rowOff>73705</xdr:rowOff>
    </xdr:from>
    <xdr:to>
      <xdr:col>28</xdr:col>
      <xdr:colOff>321111</xdr:colOff>
      <xdr:row>5</xdr:row>
      <xdr:rowOff>86391</xdr:rowOff>
    </xdr:to>
    <xdr:cxnSp macro="">
      <xdr:nvCxnSpPr>
        <xdr:cNvPr id="13" name="Link 22">
          <a:extLst>
            <a:ext uri="{FF2B5EF4-FFF2-40B4-BE49-F238E27FC236}">
              <a16:creationId xmlns:a16="http://schemas.microsoft.com/office/drawing/2014/main" id="{2FE7E13F-B20C-4BCF-BD22-54AE0B018142}"/>
            </a:ext>
          </a:extLst>
        </xdr:cNvPr>
        <xdr:cNvCxnSpPr>
          <a:stCxn id="12395" idx="0"/>
          <a:endCxn id="12394" idx="0"/>
        </xdr:cNvCxnSpPr>
      </xdr:nvCxnSpPr>
      <xdr:spPr>
        <a:xfrm>
          <a:off x="15183412" y="982910"/>
          <a:ext cx="2178790" cy="12686"/>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12685</xdr:colOff>
      <xdr:row>7</xdr:row>
      <xdr:rowOff>97553</xdr:rowOff>
    </xdr:from>
    <xdr:to>
      <xdr:col>28</xdr:col>
      <xdr:colOff>321111</xdr:colOff>
      <xdr:row>7</xdr:row>
      <xdr:rowOff>110239</xdr:rowOff>
    </xdr:to>
    <xdr:cxnSp macro="">
      <xdr:nvCxnSpPr>
        <xdr:cNvPr id="14" name="Link 20">
          <a:extLst>
            <a:ext uri="{FF2B5EF4-FFF2-40B4-BE49-F238E27FC236}">
              <a16:creationId xmlns:a16="http://schemas.microsoft.com/office/drawing/2014/main" id="{0A30279F-F889-46E9-88F6-B4DF2CE10EBD}"/>
            </a:ext>
          </a:extLst>
        </xdr:cNvPr>
        <xdr:cNvCxnSpPr>
          <a:stCxn id="12395" idx="2"/>
          <a:endCxn id="12394" idx="2"/>
        </xdr:cNvCxnSpPr>
      </xdr:nvCxnSpPr>
      <xdr:spPr>
        <a:xfrm>
          <a:off x="15183412" y="1370440"/>
          <a:ext cx="2178790" cy="12686"/>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321111</xdr:colOff>
      <xdr:row>5</xdr:row>
      <xdr:rowOff>82449</xdr:rowOff>
    </xdr:from>
    <xdr:to>
      <xdr:col>32</xdr:col>
      <xdr:colOff>49329</xdr:colOff>
      <xdr:row>5</xdr:row>
      <xdr:rowOff>86391</xdr:rowOff>
    </xdr:to>
    <xdr:cxnSp macro="">
      <xdr:nvCxnSpPr>
        <xdr:cNvPr id="15" name="Link 26">
          <a:extLst>
            <a:ext uri="{FF2B5EF4-FFF2-40B4-BE49-F238E27FC236}">
              <a16:creationId xmlns:a16="http://schemas.microsoft.com/office/drawing/2014/main" id="{3AFD5C93-8495-479D-A90C-9B49E8A9ACB9}"/>
            </a:ext>
          </a:extLst>
        </xdr:cNvPr>
        <xdr:cNvCxnSpPr>
          <a:stCxn id="12394" idx="0"/>
          <a:endCxn id="12393" idx="0"/>
        </xdr:cNvCxnSpPr>
      </xdr:nvCxnSpPr>
      <xdr:spPr>
        <a:xfrm flipV="1">
          <a:off x="17362202" y="991654"/>
          <a:ext cx="2222036" cy="3942"/>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321111</xdr:colOff>
      <xdr:row>7</xdr:row>
      <xdr:rowOff>106297</xdr:rowOff>
    </xdr:from>
    <xdr:to>
      <xdr:col>32</xdr:col>
      <xdr:colOff>49329</xdr:colOff>
      <xdr:row>7</xdr:row>
      <xdr:rowOff>110239</xdr:rowOff>
    </xdr:to>
    <xdr:cxnSp macro="">
      <xdr:nvCxnSpPr>
        <xdr:cNvPr id="16" name="Link 23">
          <a:extLst>
            <a:ext uri="{FF2B5EF4-FFF2-40B4-BE49-F238E27FC236}">
              <a16:creationId xmlns:a16="http://schemas.microsoft.com/office/drawing/2014/main" id="{DE2FBA3E-1C4C-4473-B8C4-E68F6BFD9E94}"/>
            </a:ext>
          </a:extLst>
        </xdr:cNvPr>
        <xdr:cNvCxnSpPr>
          <a:stCxn id="12394" idx="2"/>
          <a:endCxn id="12393" idx="2"/>
        </xdr:cNvCxnSpPr>
      </xdr:nvCxnSpPr>
      <xdr:spPr>
        <a:xfrm flipV="1">
          <a:off x="17362202" y="1379184"/>
          <a:ext cx="2222036" cy="3942"/>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475044</xdr:colOff>
      <xdr:row>2</xdr:row>
      <xdr:rowOff>112118</xdr:rowOff>
    </xdr:from>
    <xdr:to>
      <xdr:col>31</xdr:col>
      <xdr:colOff>477523</xdr:colOff>
      <xdr:row>6</xdr:row>
      <xdr:rowOff>94374</xdr:rowOff>
    </xdr:to>
    <xdr:cxnSp macro="">
      <xdr:nvCxnSpPr>
        <xdr:cNvPr id="17" name="Link 3">
          <a:extLst>
            <a:ext uri="{FF2B5EF4-FFF2-40B4-BE49-F238E27FC236}">
              <a16:creationId xmlns:a16="http://schemas.microsoft.com/office/drawing/2014/main" id="{B6CE1813-830C-4B6B-B1DA-7F74A270F38B}"/>
            </a:ext>
          </a:extLst>
        </xdr:cNvPr>
        <xdr:cNvCxnSpPr>
          <a:stCxn id="12393" idx="1"/>
          <a:endCxn id="12404" idx="1"/>
        </xdr:cNvCxnSpPr>
      </xdr:nvCxnSpPr>
      <xdr:spPr>
        <a:xfrm flipV="1">
          <a:off x="19386499" y="475800"/>
          <a:ext cx="2479" cy="709619"/>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247067</xdr:colOff>
      <xdr:row>2</xdr:row>
      <xdr:rowOff>112118</xdr:rowOff>
    </xdr:from>
    <xdr:to>
      <xdr:col>32</xdr:col>
      <xdr:colOff>249546</xdr:colOff>
      <xdr:row>6</xdr:row>
      <xdr:rowOff>94374</xdr:rowOff>
    </xdr:to>
    <xdr:cxnSp macro="">
      <xdr:nvCxnSpPr>
        <xdr:cNvPr id="18" name="Link 25">
          <a:extLst>
            <a:ext uri="{FF2B5EF4-FFF2-40B4-BE49-F238E27FC236}">
              <a16:creationId xmlns:a16="http://schemas.microsoft.com/office/drawing/2014/main" id="{3783B0E1-2DD7-4DFE-B12D-6B7503403971}"/>
            </a:ext>
          </a:extLst>
        </xdr:cNvPr>
        <xdr:cNvCxnSpPr>
          <a:stCxn id="12393" idx="3"/>
          <a:endCxn id="12404" idx="3"/>
        </xdr:cNvCxnSpPr>
      </xdr:nvCxnSpPr>
      <xdr:spPr>
        <a:xfrm flipV="1">
          <a:off x="19781976" y="475800"/>
          <a:ext cx="2479" cy="709619"/>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172751</xdr:colOff>
      <xdr:row>32</xdr:row>
      <xdr:rowOff>53589</xdr:rowOff>
    </xdr:from>
    <xdr:to>
      <xdr:col>37</xdr:col>
      <xdr:colOff>512391</xdr:colOff>
      <xdr:row>32</xdr:row>
      <xdr:rowOff>57788</xdr:rowOff>
    </xdr:to>
    <xdr:cxnSp macro="">
      <xdr:nvCxnSpPr>
        <xdr:cNvPr id="19" name="Link 32">
          <a:extLst>
            <a:ext uri="{FF2B5EF4-FFF2-40B4-BE49-F238E27FC236}">
              <a16:creationId xmlns:a16="http://schemas.microsoft.com/office/drawing/2014/main" id="{BCC2167C-D49F-4608-B630-E2D90ED42419}"/>
            </a:ext>
          </a:extLst>
        </xdr:cNvPr>
        <xdr:cNvCxnSpPr>
          <a:stCxn id="12391" idx="2"/>
          <a:endCxn id="12403" idx="2"/>
        </xdr:cNvCxnSpPr>
      </xdr:nvCxnSpPr>
      <xdr:spPr>
        <a:xfrm flipV="1">
          <a:off x="22201478" y="5872498"/>
          <a:ext cx="963095" cy="4199"/>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172751</xdr:colOff>
      <xdr:row>30</xdr:row>
      <xdr:rowOff>29739</xdr:rowOff>
    </xdr:from>
    <xdr:to>
      <xdr:col>37</xdr:col>
      <xdr:colOff>512391</xdr:colOff>
      <xdr:row>30</xdr:row>
      <xdr:rowOff>33938</xdr:rowOff>
    </xdr:to>
    <xdr:cxnSp macro="">
      <xdr:nvCxnSpPr>
        <xdr:cNvPr id="20" name="Link 4">
          <a:extLst>
            <a:ext uri="{FF2B5EF4-FFF2-40B4-BE49-F238E27FC236}">
              <a16:creationId xmlns:a16="http://schemas.microsoft.com/office/drawing/2014/main" id="{6F8DABFA-CBB0-4686-8406-D47B53E10B4E}"/>
            </a:ext>
          </a:extLst>
        </xdr:cNvPr>
        <xdr:cNvCxnSpPr>
          <a:stCxn id="12403" idx="0"/>
          <a:endCxn id="12391" idx="0"/>
        </xdr:cNvCxnSpPr>
      </xdr:nvCxnSpPr>
      <xdr:spPr>
        <a:xfrm flipH="1">
          <a:off x="22201478" y="5484966"/>
          <a:ext cx="963095" cy="4199"/>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52904</xdr:colOff>
      <xdr:row>30</xdr:row>
      <xdr:rowOff>31969</xdr:rowOff>
    </xdr:from>
    <xdr:to>
      <xdr:col>36</xdr:col>
      <xdr:colOff>172752</xdr:colOff>
      <xdr:row>30</xdr:row>
      <xdr:rowOff>33939</xdr:rowOff>
    </xdr:to>
    <xdr:cxnSp macro="">
      <xdr:nvCxnSpPr>
        <xdr:cNvPr id="21" name="Link 35">
          <a:extLst>
            <a:ext uri="{FF2B5EF4-FFF2-40B4-BE49-F238E27FC236}">
              <a16:creationId xmlns:a16="http://schemas.microsoft.com/office/drawing/2014/main" id="{A36F0819-A101-4F49-9DD7-FBD79C667B0A}"/>
            </a:ext>
          </a:extLst>
        </xdr:cNvPr>
        <xdr:cNvCxnSpPr>
          <a:stCxn id="12376" idx="0"/>
          <a:endCxn id="12391" idx="0"/>
        </xdr:cNvCxnSpPr>
      </xdr:nvCxnSpPr>
      <xdr:spPr>
        <a:xfrm>
          <a:off x="19587813" y="5487196"/>
          <a:ext cx="2613666" cy="1970"/>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52904</xdr:colOff>
      <xdr:row>32</xdr:row>
      <xdr:rowOff>55818</xdr:rowOff>
    </xdr:from>
    <xdr:to>
      <xdr:col>36</xdr:col>
      <xdr:colOff>172752</xdr:colOff>
      <xdr:row>32</xdr:row>
      <xdr:rowOff>57788</xdr:rowOff>
    </xdr:to>
    <xdr:cxnSp macro="">
      <xdr:nvCxnSpPr>
        <xdr:cNvPr id="22" name="Link 85">
          <a:extLst>
            <a:ext uri="{FF2B5EF4-FFF2-40B4-BE49-F238E27FC236}">
              <a16:creationId xmlns:a16="http://schemas.microsoft.com/office/drawing/2014/main" id="{3C76344E-A3D1-4E81-9064-A1FE356FEF43}"/>
            </a:ext>
          </a:extLst>
        </xdr:cNvPr>
        <xdr:cNvCxnSpPr>
          <a:stCxn id="12391" idx="2"/>
          <a:endCxn id="12376" idx="2"/>
        </xdr:cNvCxnSpPr>
      </xdr:nvCxnSpPr>
      <xdr:spPr>
        <a:xfrm flipH="1" flipV="1">
          <a:off x="19587813" y="5874727"/>
          <a:ext cx="2613666" cy="1970"/>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250430</xdr:colOff>
      <xdr:row>17</xdr:row>
      <xdr:rowOff>120794</xdr:rowOff>
    </xdr:from>
    <xdr:to>
      <xdr:col>32</xdr:col>
      <xdr:colOff>252642</xdr:colOff>
      <xdr:row>31</xdr:row>
      <xdr:rowOff>43892</xdr:rowOff>
    </xdr:to>
    <xdr:cxnSp macro="">
      <xdr:nvCxnSpPr>
        <xdr:cNvPr id="23" name="Link 86">
          <a:extLst>
            <a:ext uri="{FF2B5EF4-FFF2-40B4-BE49-F238E27FC236}">
              <a16:creationId xmlns:a16="http://schemas.microsoft.com/office/drawing/2014/main" id="{6D563BFC-313B-4A3B-A00F-B392E72B7370}"/>
            </a:ext>
          </a:extLst>
        </xdr:cNvPr>
        <xdr:cNvCxnSpPr>
          <a:stCxn id="12377" idx="3"/>
          <a:endCxn id="12376" idx="3"/>
        </xdr:cNvCxnSpPr>
      </xdr:nvCxnSpPr>
      <xdr:spPr>
        <a:xfrm>
          <a:off x="19785339" y="3212090"/>
          <a:ext cx="2212" cy="2468871"/>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478408</xdr:colOff>
      <xdr:row>17</xdr:row>
      <xdr:rowOff>120794</xdr:rowOff>
    </xdr:from>
    <xdr:to>
      <xdr:col>31</xdr:col>
      <xdr:colOff>480620</xdr:colOff>
      <xdr:row>31</xdr:row>
      <xdr:rowOff>43892</xdr:rowOff>
    </xdr:to>
    <xdr:cxnSp macro="">
      <xdr:nvCxnSpPr>
        <xdr:cNvPr id="24" name="Link 84">
          <a:extLst>
            <a:ext uri="{FF2B5EF4-FFF2-40B4-BE49-F238E27FC236}">
              <a16:creationId xmlns:a16="http://schemas.microsoft.com/office/drawing/2014/main" id="{D0D803A5-52E9-495F-858F-9A947016ADE7}"/>
            </a:ext>
          </a:extLst>
        </xdr:cNvPr>
        <xdr:cNvCxnSpPr>
          <a:stCxn id="12377" idx="1"/>
          <a:endCxn id="12376" idx="1"/>
        </xdr:cNvCxnSpPr>
      </xdr:nvCxnSpPr>
      <xdr:spPr>
        <a:xfrm>
          <a:off x="19389863" y="3212090"/>
          <a:ext cx="2212" cy="2468871"/>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475044</xdr:colOff>
      <xdr:row>6</xdr:row>
      <xdr:rowOff>94374</xdr:rowOff>
    </xdr:from>
    <xdr:to>
      <xdr:col>31</xdr:col>
      <xdr:colOff>478408</xdr:colOff>
      <xdr:row>17</xdr:row>
      <xdr:rowOff>120795</xdr:rowOff>
    </xdr:to>
    <xdr:cxnSp macro="">
      <xdr:nvCxnSpPr>
        <xdr:cNvPr id="25" name="Link 28">
          <a:extLst>
            <a:ext uri="{FF2B5EF4-FFF2-40B4-BE49-F238E27FC236}">
              <a16:creationId xmlns:a16="http://schemas.microsoft.com/office/drawing/2014/main" id="{76D00D74-27C4-4F2D-A40A-F42B3D928EE5}"/>
            </a:ext>
          </a:extLst>
        </xdr:cNvPr>
        <xdr:cNvCxnSpPr>
          <a:stCxn id="12377" idx="1"/>
          <a:endCxn id="12393" idx="1"/>
        </xdr:cNvCxnSpPr>
      </xdr:nvCxnSpPr>
      <xdr:spPr>
        <a:xfrm flipH="1" flipV="1">
          <a:off x="19386499" y="1185419"/>
          <a:ext cx="3364" cy="2026672"/>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247067</xdr:colOff>
      <xdr:row>6</xdr:row>
      <xdr:rowOff>94374</xdr:rowOff>
    </xdr:from>
    <xdr:to>
      <xdr:col>32</xdr:col>
      <xdr:colOff>250431</xdr:colOff>
      <xdr:row>17</xdr:row>
      <xdr:rowOff>120795</xdr:rowOff>
    </xdr:to>
    <xdr:cxnSp macro="">
      <xdr:nvCxnSpPr>
        <xdr:cNvPr id="26" name="Link 81">
          <a:extLst>
            <a:ext uri="{FF2B5EF4-FFF2-40B4-BE49-F238E27FC236}">
              <a16:creationId xmlns:a16="http://schemas.microsoft.com/office/drawing/2014/main" id="{6753B9A6-2483-472A-AD16-9CC74427337D}"/>
            </a:ext>
          </a:extLst>
        </xdr:cNvPr>
        <xdr:cNvCxnSpPr>
          <a:stCxn id="12377" idx="3"/>
          <a:endCxn id="12393" idx="3"/>
        </xdr:cNvCxnSpPr>
      </xdr:nvCxnSpPr>
      <xdr:spPr>
        <a:xfrm flipH="1" flipV="1">
          <a:off x="19781976" y="1185419"/>
          <a:ext cx="3364" cy="2026672"/>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480621</xdr:colOff>
      <xdr:row>31</xdr:row>
      <xdr:rowOff>43891</xdr:rowOff>
    </xdr:from>
    <xdr:to>
      <xdr:col>31</xdr:col>
      <xdr:colOff>492089</xdr:colOff>
      <xdr:row>35</xdr:row>
      <xdr:rowOff>60173</xdr:rowOff>
    </xdr:to>
    <xdr:cxnSp macro="">
      <xdr:nvCxnSpPr>
        <xdr:cNvPr id="27" name="Link 87">
          <a:extLst>
            <a:ext uri="{FF2B5EF4-FFF2-40B4-BE49-F238E27FC236}">
              <a16:creationId xmlns:a16="http://schemas.microsoft.com/office/drawing/2014/main" id="{D716C1B8-E7F8-4BD9-985B-49229DCC75C8}"/>
            </a:ext>
          </a:extLst>
        </xdr:cNvPr>
        <xdr:cNvCxnSpPr>
          <a:stCxn id="12376" idx="1"/>
          <a:endCxn id="12375" idx="1"/>
        </xdr:cNvCxnSpPr>
      </xdr:nvCxnSpPr>
      <xdr:spPr>
        <a:xfrm>
          <a:off x="19392076" y="5680960"/>
          <a:ext cx="11468" cy="743646"/>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252644</xdr:colOff>
      <xdr:row>31</xdr:row>
      <xdr:rowOff>43891</xdr:rowOff>
    </xdr:from>
    <xdr:to>
      <xdr:col>32</xdr:col>
      <xdr:colOff>264112</xdr:colOff>
      <xdr:row>35</xdr:row>
      <xdr:rowOff>60173</xdr:rowOff>
    </xdr:to>
    <xdr:cxnSp macro="">
      <xdr:nvCxnSpPr>
        <xdr:cNvPr id="28" name="Link 89">
          <a:extLst>
            <a:ext uri="{FF2B5EF4-FFF2-40B4-BE49-F238E27FC236}">
              <a16:creationId xmlns:a16="http://schemas.microsoft.com/office/drawing/2014/main" id="{A22EBC95-F361-485F-9C78-FFDC09D9A6DF}"/>
            </a:ext>
          </a:extLst>
        </xdr:cNvPr>
        <xdr:cNvCxnSpPr>
          <a:stCxn id="12375" idx="3"/>
          <a:endCxn id="12376" idx="3"/>
        </xdr:cNvCxnSpPr>
      </xdr:nvCxnSpPr>
      <xdr:spPr>
        <a:xfrm flipH="1" flipV="1">
          <a:off x="19787553" y="5680960"/>
          <a:ext cx="11468" cy="743646"/>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256673</xdr:colOff>
      <xdr:row>35</xdr:row>
      <xdr:rowOff>60173</xdr:rowOff>
    </xdr:from>
    <xdr:to>
      <xdr:col>32</xdr:col>
      <xdr:colOff>264110</xdr:colOff>
      <xdr:row>39</xdr:row>
      <xdr:rowOff>17277</xdr:rowOff>
    </xdr:to>
    <xdr:cxnSp macro="">
      <xdr:nvCxnSpPr>
        <xdr:cNvPr id="29" name="Link 38">
          <a:extLst>
            <a:ext uri="{FF2B5EF4-FFF2-40B4-BE49-F238E27FC236}">
              <a16:creationId xmlns:a16="http://schemas.microsoft.com/office/drawing/2014/main" id="{DA4E72AB-450F-43BA-82E5-2BE609E396BD}"/>
            </a:ext>
          </a:extLst>
        </xdr:cNvPr>
        <xdr:cNvCxnSpPr>
          <a:stCxn id="12375" idx="3"/>
          <a:endCxn id="12390" idx="3"/>
        </xdr:cNvCxnSpPr>
      </xdr:nvCxnSpPr>
      <xdr:spPr>
        <a:xfrm flipH="1">
          <a:off x="19791582" y="6424606"/>
          <a:ext cx="7437" cy="684467"/>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484651</xdr:colOff>
      <xdr:row>35</xdr:row>
      <xdr:rowOff>60173</xdr:rowOff>
    </xdr:from>
    <xdr:to>
      <xdr:col>31</xdr:col>
      <xdr:colOff>492088</xdr:colOff>
      <xdr:row>39</xdr:row>
      <xdr:rowOff>17277</xdr:rowOff>
    </xdr:to>
    <xdr:cxnSp macro="">
      <xdr:nvCxnSpPr>
        <xdr:cNvPr id="30" name="Link 88">
          <a:extLst>
            <a:ext uri="{FF2B5EF4-FFF2-40B4-BE49-F238E27FC236}">
              <a16:creationId xmlns:a16="http://schemas.microsoft.com/office/drawing/2014/main" id="{52634227-7DF2-48A9-9F62-2DF57E176AD5}"/>
            </a:ext>
          </a:extLst>
        </xdr:cNvPr>
        <xdr:cNvCxnSpPr>
          <a:stCxn id="12375" idx="1"/>
          <a:endCxn id="12390" idx="1"/>
        </xdr:cNvCxnSpPr>
      </xdr:nvCxnSpPr>
      <xdr:spPr>
        <a:xfrm flipH="1">
          <a:off x="19396106" y="6424606"/>
          <a:ext cx="7437" cy="684467"/>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540341</xdr:colOff>
      <xdr:row>40</xdr:row>
      <xdr:rowOff>29204</xdr:rowOff>
    </xdr:from>
    <xdr:to>
      <xdr:col>32</xdr:col>
      <xdr:colOff>56934</xdr:colOff>
      <xdr:row>48</xdr:row>
      <xdr:rowOff>114942</xdr:rowOff>
    </xdr:to>
    <xdr:cxnSp macro="">
      <xdr:nvCxnSpPr>
        <xdr:cNvPr id="31" name="Link 40">
          <a:extLst>
            <a:ext uri="{FF2B5EF4-FFF2-40B4-BE49-F238E27FC236}">
              <a16:creationId xmlns:a16="http://schemas.microsoft.com/office/drawing/2014/main" id="{1D736130-6B46-4364-A983-F387A52A9836}"/>
            </a:ext>
          </a:extLst>
        </xdr:cNvPr>
        <xdr:cNvCxnSpPr>
          <a:stCxn id="12390" idx="2"/>
          <a:endCxn id="12389" idx="2"/>
        </xdr:cNvCxnSpPr>
      </xdr:nvCxnSpPr>
      <xdr:spPr>
        <a:xfrm flipH="1">
          <a:off x="16334523" y="7302840"/>
          <a:ext cx="3257320" cy="1540466"/>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540341</xdr:colOff>
      <xdr:row>38</xdr:row>
      <xdr:rowOff>5352</xdr:rowOff>
    </xdr:from>
    <xdr:to>
      <xdr:col>32</xdr:col>
      <xdr:colOff>56934</xdr:colOff>
      <xdr:row>46</xdr:row>
      <xdr:rowOff>91962</xdr:rowOff>
    </xdr:to>
    <xdr:cxnSp macro="">
      <xdr:nvCxnSpPr>
        <xdr:cNvPr id="32" name="Link 37">
          <a:extLst>
            <a:ext uri="{FF2B5EF4-FFF2-40B4-BE49-F238E27FC236}">
              <a16:creationId xmlns:a16="http://schemas.microsoft.com/office/drawing/2014/main" id="{5B70BEF6-4BFD-491D-A09D-00A4EDCB92DC}"/>
            </a:ext>
          </a:extLst>
        </xdr:cNvPr>
        <xdr:cNvCxnSpPr>
          <a:stCxn id="12390" idx="0"/>
          <a:endCxn id="12389" idx="0"/>
        </xdr:cNvCxnSpPr>
      </xdr:nvCxnSpPr>
      <xdr:spPr>
        <a:xfrm flipH="1">
          <a:off x="16334523" y="6915307"/>
          <a:ext cx="3257320" cy="1541337"/>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112025</xdr:colOff>
      <xdr:row>43</xdr:row>
      <xdr:rowOff>3386</xdr:rowOff>
    </xdr:from>
    <xdr:to>
      <xdr:col>27</xdr:col>
      <xdr:colOff>116627</xdr:colOff>
      <xdr:row>47</xdr:row>
      <xdr:rowOff>103016</xdr:rowOff>
    </xdr:to>
    <xdr:cxnSp macro="">
      <xdr:nvCxnSpPr>
        <xdr:cNvPr id="33" name="Link 42">
          <a:extLst>
            <a:ext uri="{FF2B5EF4-FFF2-40B4-BE49-F238E27FC236}">
              <a16:creationId xmlns:a16="http://schemas.microsoft.com/office/drawing/2014/main" id="{07B53C81-1107-45E0-8E49-8419633D4F29}"/>
            </a:ext>
          </a:extLst>
        </xdr:cNvPr>
        <xdr:cNvCxnSpPr>
          <a:stCxn id="12389" idx="3"/>
          <a:endCxn id="12374" idx="3"/>
        </xdr:cNvCxnSpPr>
      </xdr:nvCxnSpPr>
      <xdr:spPr>
        <a:xfrm flipH="1" flipV="1">
          <a:off x="16529661" y="7822546"/>
          <a:ext cx="4602" cy="826994"/>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336000</xdr:colOff>
      <xdr:row>43</xdr:row>
      <xdr:rowOff>3386</xdr:rowOff>
    </xdr:from>
    <xdr:to>
      <xdr:col>26</xdr:col>
      <xdr:colOff>340602</xdr:colOff>
      <xdr:row>47</xdr:row>
      <xdr:rowOff>103016</xdr:rowOff>
    </xdr:to>
    <xdr:cxnSp macro="">
      <xdr:nvCxnSpPr>
        <xdr:cNvPr id="34" name="Link 91">
          <a:extLst>
            <a:ext uri="{FF2B5EF4-FFF2-40B4-BE49-F238E27FC236}">
              <a16:creationId xmlns:a16="http://schemas.microsoft.com/office/drawing/2014/main" id="{D394D2D8-E11F-41D7-8551-C122387F10ED}"/>
            </a:ext>
          </a:extLst>
        </xdr:cNvPr>
        <xdr:cNvCxnSpPr>
          <a:stCxn id="12389" idx="1"/>
          <a:endCxn id="12374" idx="1"/>
        </xdr:cNvCxnSpPr>
      </xdr:nvCxnSpPr>
      <xdr:spPr>
        <a:xfrm flipH="1" flipV="1">
          <a:off x="16130182" y="7822546"/>
          <a:ext cx="4602" cy="826994"/>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112025</xdr:colOff>
      <xdr:row>31</xdr:row>
      <xdr:rowOff>20279</xdr:rowOff>
    </xdr:from>
    <xdr:to>
      <xdr:col>27</xdr:col>
      <xdr:colOff>119816</xdr:colOff>
      <xdr:row>43</xdr:row>
      <xdr:rowOff>3387</xdr:rowOff>
    </xdr:to>
    <xdr:cxnSp macro="">
      <xdr:nvCxnSpPr>
        <xdr:cNvPr id="35" name="Link 94">
          <a:extLst>
            <a:ext uri="{FF2B5EF4-FFF2-40B4-BE49-F238E27FC236}">
              <a16:creationId xmlns:a16="http://schemas.microsoft.com/office/drawing/2014/main" id="{3CB9F192-BC0C-4224-8510-5F411D3E2F8E}"/>
            </a:ext>
          </a:extLst>
        </xdr:cNvPr>
        <xdr:cNvCxnSpPr>
          <a:stCxn id="12374" idx="3"/>
          <a:endCxn id="12365" idx="3"/>
        </xdr:cNvCxnSpPr>
      </xdr:nvCxnSpPr>
      <xdr:spPr>
        <a:xfrm flipV="1">
          <a:off x="16529661" y="5657348"/>
          <a:ext cx="7791" cy="2165199"/>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336000</xdr:colOff>
      <xdr:row>31</xdr:row>
      <xdr:rowOff>20279</xdr:rowOff>
    </xdr:from>
    <xdr:to>
      <xdr:col>26</xdr:col>
      <xdr:colOff>343791</xdr:colOff>
      <xdr:row>43</xdr:row>
      <xdr:rowOff>3387</xdr:rowOff>
    </xdr:to>
    <xdr:cxnSp macro="">
      <xdr:nvCxnSpPr>
        <xdr:cNvPr id="36" name="Link 123">
          <a:extLst>
            <a:ext uri="{FF2B5EF4-FFF2-40B4-BE49-F238E27FC236}">
              <a16:creationId xmlns:a16="http://schemas.microsoft.com/office/drawing/2014/main" id="{2240A048-FBA6-436C-AC7D-0547A21ADF99}"/>
            </a:ext>
          </a:extLst>
        </xdr:cNvPr>
        <xdr:cNvCxnSpPr>
          <a:stCxn id="12374" idx="1"/>
          <a:endCxn id="12365" idx="1"/>
        </xdr:cNvCxnSpPr>
      </xdr:nvCxnSpPr>
      <xdr:spPr>
        <a:xfrm flipV="1">
          <a:off x="16130182" y="5657348"/>
          <a:ext cx="7791" cy="2165199"/>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119639</xdr:colOff>
      <xdr:row>26</xdr:row>
      <xdr:rowOff>128364</xdr:rowOff>
    </xdr:from>
    <xdr:to>
      <xdr:col>27</xdr:col>
      <xdr:colOff>119817</xdr:colOff>
      <xdr:row>31</xdr:row>
      <xdr:rowOff>20278</xdr:rowOff>
    </xdr:to>
    <xdr:cxnSp macro="">
      <xdr:nvCxnSpPr>
        <xdr:cNvPr id="37" name="Link 124">
          <a:extLst>
            <a:ext uri="{FF2B5EF4-FFF2-40B4-BE49-F238E27FC236}">
              <a16:creationId xmlns:a16="http://schemas.microsoft.com/office/drawing/2014/main" id="{3F3EA6AC-8F70-4DD9-A288-731DDE6B7B30}"/>
            </a:ext>
          </a:extLst>
        </xdr:cNvPr>
        <xdr:cNvCxnSpPr>
          <a:stCxn id="12365" idx="3"/>
          <a:endCxn id="12366" idx="3"/>
        </xdr:cNvCxnSpPr>
      </xdr:nvCxnSpPr>
      <xdr:spPr>
        <a:xfrm flipH="1" flipV="1">
          <a:off x="16537275" y="4856228"/>
          <a:ext cx="178" cy="801119"/>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343613</xdr:colOff>
      <xdr:row>26</xdr:row>
      <xdr:rowOff>128364</xdr:rowOff>
    </xdr:from>
    <xdr:to>
      <xdr:col>26</xdr:col>
      <xdr:colOff>343791</xdr:colOff>
      <xdr:row>31</xdr:row>
      <xdr:rowOff>20278</xdr:rowOff>
    </xdr:to>
    <xdr:cxnSp macro="">
      <xdr:nvCxnSpPr>
        <xdr:cNvPr id="38" name="Link 121">
          <a:extLst>
            <a:ext uri="{FF2B5EF4-FFF2-40B4-BE49-F238E27FC236}">
              <a16:creationId xmlns:a16="http://schemas.microsoft.com/office/drawing/2014/main" id="{29D94257-8B5B-4680-B99F-33A2FF386923}"/>
            </a:ext>
          </a:extLst>
        </xdr:cNvPr>
        <xdr:cNvCxnSpPr>
          <a:stCxn id="12365" idx="1"/>
          <a:endCxn id="12366" idx="1"/>
        </xdr:cNvCxnSpPr>
      </xdr:nvCxnSpPr>
      <xdr:spPr>
        <a:xfrm flipH="1" flipV="1">
          <a:off x="16137795" y="4856228"/>
          <a:ext cx="178" cy="801119"/>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115919</xdr:colOff>
      <xdr:row>22</xdr:row>
      <xdr:rowOff>69623</xdr:rowOff>
    </xdr:from>
    <xdr:to>
      <xdr:col>27</xdr:col>
      <xdr:colOff>119639</xdr:colOff>
      <xdr:row>26</xdr:row>
      <xdr:rowOff>128364</xdr:rowOff>
    </xdr:to>
    <xdr:cxnSp macro="">
      <xdr:nvCxnSpPr>
        <xdr:cNvPr id="39" name="Link 120">
          <a:extLst>
            <a:ext uri="{FF2B5EF4-FFF2-40B4-BE49-F238E27FC236}">
              <a16:creationId xmlns:a16="http://schemas.microsoft.com/office/drawing/2014/main" id="{EA25CFAA-3C47-4857-B765-D6CF7C9CB160}"/>
            </a:ext>
          </a:extLst>
        </xdr:cNvPr>
        <xdr:cNvCxnSpPr>
          <a:stCxn id="12366" idx="3"/>
          <a:endCxn id="12367" idx="3"/>
        </xdr:cNvCxnSpPr>
      </xdr:nvCxnSpPr>
      <xdr:spPr>
        <a:xfrm flipH="1" flipV="1">
          <a:off x="16533555" y="4070123"/>
          <a:ext cx="3720" cy="786105"/>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339894</xdr:colOff>
      <xdr:row>22</xdr:row>
      <xdr:rowOff>69623</xdr:rowOff>
    </xdr:from>
    <xdr:to>
      <xdr:col>26</xdr:col>
      <xdr:colOff>343614</xdr:colOff>
      <xdr:row>26</xdr:row>
      <xdr:rowOff>128364</xdr:rowOff>
    </xdr:to>
    <xdr:cxnSp macro="">
      <xdr:nvCxnSpPr>
        <xdr:cNvPr id="40" name="Link 119">
          <a:extLst>
            <a:ext uri="{FF2B5EF4-FFF2-40B4-BE49-F238E27FC236}">
              <a16:creationId xmlns:a16="http://schemas.microsoft.com/office/drawing/2014/main" id="{1B92FA79-E97E-49CC-9166-8A125D714A23}"/>
            </a:ext>
          </a:extLst>
        </xdr:cNvPr>
        <xdr:cNvCxnSpPr>
          <a:stCxn id="12366" idx="1"/>
          <a:endCxn id="12367" idx="1"/>
        </xdr:cNvCxnSpPr>
      </xdr:nvCxnSpPr>
      <xdr:spPr>
        <a:xfrm flipH="1" flipV="1">
          <a:off x="16134076" y="4070123"/>
          <a:ext cx="3720" cy="786105"/>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113264</xdr:colOff>
      <xdr:row>17</xdr:row>
      <xdr:rowOff>120452</xdr:rowOff>
    </xdr:from>
    <xdr:to>
      <xdr:col>27</xdr:col>
      <xdr:colOff>115919</xdr:colOff>
      <xdr:row>22</xdr:row>
      <xdr:rowOff>69623</xdr:rowOff>
    </xdr:to>
    <xdr:cxnSp macro="">
      <xdr:nvCxnSpPr>
        <xdr:cNvPr id="41" name="Link 117">
          <a:extLst>
            <a:ext uri="{FF2B5EF4-FFF2-40B4-BE49-F238E27FC236}">
              <a16:creationId xmlns:a16="http://schemas.microsoft.com/office/drawing/2014/main" id="{1F3FBC12-F46C-48B1-8D61-6D624BD75491}"/>
            </a:ext>
          </a:extLst>
        </xdr:cNvPr>
        <xdr:cNvCxnSpPr>
          <a:stCxn id="12367" idx="3"/>
          <a:endCxn id="12379" idx="3"/>
        </xdr:cNvCxnSpPr>
      </xdr:nvCxnSpPr>
      <xdr:spPr>
        <a:xfrm flipH="1" flipV="1">
          <a:off x="16530900" y="3211748"/>
          <a:ext cx="2655" cy="858375"/>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337239</xdr:colOff>
      <xdr:row>17</xdr:row>
      <xdr:rowOff>120452</xdr:rowOff>
    </xdr:from>
    <xdr:to>
      <xdr:col>26</xdr:col>
      <xdr:colOff>339894</xdr:colOff>
      <xdr:row>22</xdr:row>
      <xdr:rowOff>69623</xdr:rowOff>
    </xdr:to>
    <xdr:cxnSp macro="">
      <xdr:nvCxnSpPr>
        <xdr:cNvPr id="42" name="Link 77">
          <a:extLst>
            <a:ext uri="{FF2B5EF4-FFF2-40B4-BE49-F238E27FC236}">
              <a16:creationId xmlns:a16="http://schemas.microsoft.com/office/drawing/2014/main" id="{B19D6E80-A57C-4DDF-A5E3-FBC994FB74A1}"/>
            </a:ext>
          </a:extLst>
        </xdr:cNvPr>
        <xdr:cNvCxnSpPr>
          <a:stCxn id="12367" idx="1"/>
          <a:endCxn id="12379" idx="1"/>
        </xdr:cNvCxnSpPr>
      </xdr:nvCxnSpPr>
      <xdr:spPr>
        <a:xfrm flipH="1" flipV="1">
          <a:off x="16131421" y="3211748"/>
          <a:ext cx="2655" cy="858375"/>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536979</xdr:colOff>
      <xdr:row>16</xdr:row>
      <xdr:rowOff>108529</xdr:rowOff>
    </xdr:from>
    <xdr:to>
      <xdr:col>28</xdr:col>
      <xdr:colOff>313278</xdr:colOff>
      <xdr:row>16</xdr:row>
      <xdr:rowOff>111957</xdr:rowOff>
    </xdr:to>
    <xdr:cxnSp macro="">
      <xdr:nvCxnSpPr>
        <xdr:cNvPr id="43" name="Link 79">
          <a:extLst>
            <a:ext uri="{FF2B5EF4-FFF2-40B4-BE49-F238E27FC236}">
              <a16:creationId xmlns:a16="http://schemas.microsoft.com/office/drawing/2014/main" id="{15381033-C1C3-41C0-A684-A33CC3A36B8A}"/>
            </a:ext>
          </a:extLst>
        </xdr:cNvPr>
        <xdr:cNvCxnSpPr>
          <a:stCxn id="12379" idx="0"/>
          <a:endCxn id="12378" idx="0"/>
        </xdr:cNvCxnSpPr>
      </xdr:nvCxnSpPr>
      <xdr:spPr>
        <a:xfrm>
          <a:off x="16331161" y="3017984"/>
          <a:ext cx="1023208" cy="3428"/>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313278</xdr:colOff>
      <xdr:row>18</xdr:row>
      <xdr:rowOff>132719</xdr:rowOff>
    </xdr:from>
    <xdr:to>
      <xdr:col>32</xdr:col>
      <xdr:colOff>50691</xdr:colOff>
      <xdr:row>18</xdr:row>
      <xdr:rowOff>135807</xdr:rowOff>
    </xdr:to>
    <xdr:cxnSp macro="">
      <xdr:nvCxnSpPr>
        <xdr:cNvPr id="44" name="Link 80">
          <a:extLst>
            <a:ext uri="{FF2B5EF4-FFF2-40B4-BE49-F238E27FC236}">
              <a16:creationId xmlns:a16="http://schemas.microsoft.com/office/drawing/2014/main" id="{EB29824E-3718-43CC-AAA2-D08E00BDF4B6}"/>
            </a:ext>
          </a:extLst>
        </xdr:cNvPr>
        <xdr:cNvCxnSpPr>
          <a:stCxn id="12378" idx="2"/>
          <a:endCxn id="12377" idx="2"/>
        </xdr:cNvCxnSpPr>
      </xdr:nvCxnSpPr>
      <xdr:spPr>
        <a:xfrm flipV="1">
          <a:off x="17354369" y="3405855"/>
          <a:ext cx="2231231" cy="3088"/>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313278</xdr:colOff>
      <xdr:row>16</xdr:row>
      <xdr:rowOff>108870</xdr:rowOff>
    </xdr:from>
    <xdr:to>
      <xdr:col>32</xdr:col>
      <xdr:colOff>50691</xdr:colOff>
      <xdr:row>16</xdr:row>
      <xdr:rowOff>111958</xdr:rowOff>
    </xdr:to>
    <xdr:cxnSp macro="">
      <xdr:nvCxnSpPr>
        <xdr:cNvPr id="45" name="Link 83">
          <a:extLst>
            <a:ext uri="{FF2B5EF4-FFF2-40B4-BE49-F238E27FC236}">
              <a16:creationId xmlns:a16="http://schemas.microsoft.com/office/drawing/2014/main" id="{BD9E25C6-BD0D-496F-BEB5-9A5F58B2F299}"/>
            </a:ext>
          </a:extLst>
        </xdr:cNvPr>
        <xdr:cNvCxnSpPr>
          <a:stCxn id="12378" idx="0"/>
          <a:endCxn id="12377" idx="0"/>
        </xdr:cNvCxnSpPr>
      </xdr:nvCxnSpPr>
      <xdr:spPr>
        <a:xfrm flipV="1">
          <a:off x="17354369" y="3018325"/>
          <a:ext cx="2231231" cy="3088"/>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536979</xdr:colOff>
      <xdr:row>18</xdr:row>
      <xdr:rowOff>132379</xdr:rowOff>
    </xdr:from>
    <xdr:to>
      <xdr:col>28</xdr:col>
      <xdr:colOff>313278</xdr:colOff>
      <xdr:row>18</xdr:row>
      <xdr:rowOff>135807</xdr:rowOff>
    </xdr:to>
    <xdr:cxnSp macro="">
      <xdr:nvCxnSpPr>
        <xdr:cNvPr id="46" name="Link 76">
          <a:extLst>
            <a:ext uri="{FF2B5EF4-FFF2-40B4-BE49-F238E27FC236}">
              <a16:creationId xmlns:a16="http://schemas.microsoft.com/office/drawing/2014/main" id="{2776F4CB-8016-4ED3-8749-5AD672948348}"/>
            </a:ext>
          </a:extLst>
        </xdr:cNvPr>
        <xdr:cNvCxnSpPr>
          <a:stCxn id="12379" idx="2"/>
          <a:endCxn id="12378" idx="2"/>
        </xdr:cNvCxnSpPr>
      </xdr:nvCxnSpPr>
      <xdr:spPr>
        <a:xfrm>
          <a:off x="16331161" y="3405515"/>
          <a:ext cx="1023208" cy="3428"/>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48083</xdr:colOff>
      <xdr:row>18</xdr:row>
      <xdr:rowOff>124759</xdr:rowOff>
    </xdr:from>
    <xdr:to>
      <xdr:col>17</xdr:col>
      <xdr:colOff>328946</xdr:colOff>
      <xdr:row>18</xdr:row>
      <xdr:rowOff>128534</xdr:rowOff>
    </xdr:to>
    <xdr:cxnSp macro="">
      <xdr:nvCxnSpPr>
        <xdr:cNvPr id="47" name="Link 8">
          <a:extLst>
            <a:ext uri="{FF2B5EF4-FFF2-40B4-BE49-F238E27FC236}">
              <a16:creationId xmlns:a16="http://schemas.microsoft.com/office/drawing/2014/main" id="{FFFD3F55-E0D1-4CE6-878B-C0B5E5D53268}"/>
            </a:ext>
          </a:extLst>
        </xdr:cNvPr>
        <xdr:cNvCxnSpPr>
          <a:stCxn id="12399" idx="2"/>
          <a:endCxn id="12383" idx="2"/>
        </xdr:cNvCxnSpPr>
      </xdr:nvCxnSpPr>
      <xdr:spPr>
        <a:xfrm>
          <a:off x="9607719" y="3397895"/>
          <a:ext cx="904318" cy="3775"/>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48083</xdr:colOff>
      <xdr:row>16</xdr:row>
      <xdr:rowOff>100994</xdr:rowOff>
    </xdr:from>
    <xdr:to>
      <xdr:col>17</xdr:col>
      <xdr:colOff>328946</xdr:colOff>
      <xdr:row>16</xdr:row>
      <xdr:rowOff>103900</xdr:rowOff>
    </xdr:to>
    <xdr:cxnSp macro="">
      <xdr:nvCxnSpPr>
        <xdr:cNvPr id="48" name="Link 60">
          <a:extLst>
            <a:ext uri="{FF2B5EF4-FFF2-40B4-BE49-F238E27FC236}">
              <a16:creationId xmlns:a16="http://schemas.microsoft.com/office/drawing/2014/main" id="{0BE9B098-65FB-4E7E-A4FF-B856FA9C1BD4}"/>
            </a:ext>
          </a:extLst>
        </xdr:cNvPr>
        <xdr:cNvCxnSpPr>
          <a:stCxn id="12399" idx="0"/>
          <a:endCxn id="12383" idx="0"/>
        </xdr:cNvCxnSpPr>
      </xdr:nvCxnSpPr>
      <xdr:spPr>
        <a:xfrm>
          <a:off x="9607719" y="3010449"/>
          <a:ext cx="904318" cy="2906"/>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82662</xdr:colOff>
      <xdr:row>18</xdr:row>
      <xdr:rowOff>127330</xdr:rowOff>
    </xdr:from>
    <xdr:to>
      <xdr:col>25</xdr:col>
      <xdr:colOff>31332</xdr:colOff>
      <xdr:row>18</xdr:row>
      <xdr:rowOff>134436</xdr:rowOff>
    </xdr:to>
    <xdr:cxnSp macro="">
      <xdr:nvCxnSpPr>
        <xdr:cNvPr id="49" name="Link 69">
          <a:extLst>
            <a:ext uri="{FF2B5EF4-FFF2-40B4-BE49-F238E27FC236}">
              <a16:creationId xmlns:a16="http://schemas.microsoft.com/office/drawing/2014/main" id="{FA381AAC-6C53-4CC4-A191-CFF5BA0F82AB}"/>
            </a:ext>
          </a:extLst>
        </xdr:cNvPr>
        <xdr:cNvCxnSpPr>
          <a:stCxn id="12381" idx="2"/>
          <a:endCxn id="12380" idx="2"/>
        </xdr:cNvCxnSpPr>
      </xdr:nvCxnSpPr>
      <xdr:spPr>
        <a:xfrm flipV="1">
          <a:off x="13383026" y="3400466"/>
          <a:ext cx="1819033" cy="7106"/>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82662</xdr:colOff>
      <xdr:row>16</xdr:row>
      <xdr:rowOff>103567</xdr:rowOff>
    </xdr:from>
    <xdr:to>
      <xdr:col>25</xdr:col>
      <xdr:colOff>31332</xdr:colOff>
      <xdr:row>16</xdr:row>
      <xdr:rowOff>110586</xdr:rowOff>
    </xdr:to>
    <xdr:cxnSp macro="">
      <xdr:nvCxnSpPr>
        <xdr:cNvPr id="50" name="Link 72">
          <a:extLst>
            <a:ext uri="{FF2B5EF4-FFF2-40B4-BE49-F238E27FC236}">
              <a16:creationId xmlns:a16="http://schemas.microsoft.com/office/drawing/2014/main" id="{0FED0DE5-F8F5-41EB-80FF-147B923C8E2B}"/>
            </a:ext>
          </a:extLst>
        </xdr:cNvPr>
        <xdr:cNvCxnSpPr>
          <a:stCxn id="12381" idx="0"/>
          <a:endCxn id="12380" idx="0"/>
        </xdr:cNvCxnSpPr>
      </xdr:nvCxnSpPr>
      <xdr:spPr>
        <a:xfrm flipV="1">
          <a:off x="13383026" y="3013022"/>
          <a:ext cx="1819033" cy="7019"/>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31331</xdr:colOff>
      <xdr:row>18</xdr:row>
      <xdr:rowOff>127330</xdr:rowOff>
    </xdr:from>
    <xdr:to>
      <xdr:col>26</xdr:col>
      <xdr:colOff>536978</xdr:colOff>
      <xdr:row>18</xdr:row>
      <xdr:rowOff>132378</xdr:rowOff>
    </xdr:to>
    <xdr:cxnSp macro="">
      <xdr:nvCxnSpPr>
        <xdr:cNvPr id="51" name="Link 73">
          <a:extLst>
            <a:ext uri="{FF2B5EF4-FFF2-40B4-BE49-F238E27FC236}">
              <a16:creationId xmlns:a16="http://schemas.microsoft.com/office/drawing/2014/main" id="{937473FF-488F-4AD4-844A-6AADF8C733FB}"/>
            </a:ext>
          </a:extLst>
        </xdr:cNvPr>
        <xdr:cNvCxnSpPr>
          <a:stCxn id="12380" idx="2"/>
          <a:endCxn id="12379" idx="2"/>
        </xdr:cNvCxnSpPr>
      </xdr:nvCxnSpPr>
      <xdr:spPr>
        <a:xfrm>
          <a:off x="15202058" y="3400466"/>
          <a:ext cx="1129102" cy="5048"/>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31331</xdr:colOff>
      <xdr:row>16</xdr:row>
      <xdr:rowOff>103567</xdr:rowOff>
    </xdr:from>
    <xdr:to>
      <xdr:col>26</xdr:col>
      <xdr:colOff>536978</xdr:colOff>
      <xdr:row>16</xdr:row>
      <xdr:rowOff>108529</xdr:rowOff>
    </xdr:to>
    <xdr:cxnSp macro="">
      <xdr:nvCxnSpPr>
        <xdr:cNvPr id="52" name="Link 75">
          <a:extLst>
            <a:ext uri="{FF2B5EF4-FFF2-40B4-BE49-F238E27FC236}">
              <a16:creationId xmlns:a16="http://schemas.microsoft.com/office/drawing/2014/main" id="{3D5ACB3C-4C14-4865-A3F9-CAB70F247054}"/>
            </a:ext>
          </a:extLst>
        </xdr:cNvPr>
        <xdr:cNvCxnSpPr>
          <a:stCxn id="12380" idx="0"/>
          <a:endCxn id="12379" idx="0"/>
        </xdr:cNvCxnSpPr>
      </xdr:nvCxnSpPr>
      <xdr:spPr>
        <a:xfrm>
          <a:off x="15202058" y="3013022"/>
          <a:ext cx="1129102" cy="4962"/>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522312</xdr:colOff>
      <xdr:row>6</xdr:row>
      <xdr:rowOff>88204</xdr:rowOff>
    </xdr:from>
    <xdr:to>
      <xdr:col>17</xdr:col>
      <xdr:colOff>528685</xdr:colOff>
      <xdr:row>17</xdr:row>
      <xdr:rowOff>116216</xdr:rowOff>
    </xdr:to>
    <xdr:cxnSp macro="">
      <xdr:nvCxnSpPr>
        <xdr:cNvPr id="53" name="Link 61">
          <a:extLst>
            <a:ext uri="{FF2B5EF4-FFF2-40B4-BE49-F238E27FC236}">
              <a16:creationId xmlns:a16="http://schemas.microsoft.com/office/drawing/2014/main" id="{1EF82CB5-3001-4FB9-9966-6B368975E447}"/>
            </a:ext>
          </a:extLst>
        </xdr:cNvPr>
        <xdr:cNvCxnSpPr>
          <a:stCxn id="12398" idx="3"/>
          <a:endCxn id="12383" idx="3"/>
        </xdr:cNvCxnSpPr>
      </xdr:nvCxnSpPr>
      <xdr:spPr>
        <a:xfrm>
          <a:off x="10705403" y="1179249"/>
          <a:ext cx="6373" cy="2028263"/>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121683</xdr:colOff>
      <xdr:row>6</xdr:row>
      <xdr:rowOff>88204</xdr:rowOff>
    </xdr:from>
    <xdr:to>
      <xdr:col>17</xdr:col>
      <xdr:colOff>128056</xdr:colOff>
      <xdr:row>17</xdr:row>
      <xdr:rowOff>116216</xdr:rowOff>
    </xdr:to>
    <xdr:cxnSp macro="">
      <xdr:nvCxnSpPr>
        <xdr:cNvPr id="54" name="Link 11">
          <a:extLst>
            <a:ext uri="{FF2B5EF4-FFF2-40B4-BE49-F238E27FC236}">
              <a16:creationId xmlns:a16="http://schemas.microsoft.com/office/drawing/2014/main" id="{F7107E18-D24D-4365-8177-909CE10E4634}"/>
            </a:ext>
          </a:extLst>
        </xdr:cNvPr>
        <xdr:cNvCxnSpPr>
          <a:stCxn id="12398" idx="1"/>
          <a:endCxn id="12383" idx="1"/>
        </xdr:cNvCxnSpPr>
      </xdr:nvCxnSpPr>
      <xdr:spPr>
        <a:xfrm>
          <a:off x="10304774" y="1179249"/>
          <a:ext cx="6373" cy="2028263"/>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328945</xdr:colOff>
      <xdr:row>16</xdr:row>
      <xdr:rowOff>101855</xdr:rowOff>
    </xdr:from>
    <xdr:to>
      <xdr:col>19</xdr:col>
      <xdr:colOff>72597</xdr:colOff>
      <xdr:row>16</xdr:row>
      <xdr:rowOff>103901</xdr:rowOff>
    </xdr:to>
    <xdr:cxnSp macro="">
      <xdr:nvCxnSpPr>
        <xdr:cNvPr id="55" name="Link 65">
          <a:extLst>
            <a:ext uri="{FF2B5EF4-FFF2-40B4-BE49-F238E27FC236}">
              <a16:creationId xmlns:a16="http://schemas.microsoft.com/office/drawing/2014/main" id="{20465C6A-7D5A-43B1-ADD7-93EB49D03560}"/>
            </a:ext>
          </a:extLst>
        </xdr:cNvPr>
        <xdr:cNvCxnSpPr>
          <a:stCxn id="12383" idx="0"/>
          <a:endCxn id="12382" idx="0"/>
        </xdr:cNvCxnSpPr>
      </xdr:nvCxnSpPr>
      <xdr:spPr>
        <a:xfrm flipV="1">
          <a:off x="10512036" y="3011310"/>
          <a:ext cx="990561" cy="2046"/>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328945</xdr:colOff>
      <xdr:row>18</xdr:row>
      <xdr:rowOff>125618</xdr:rowOff>
    </xdr:from>
    <xdr:to>
      <xdr:col>19</xdr:col>
      <xdr:colOff>72597</xdr:colOff>
      <xdr:row>18</xdr:row>
      <xdr:rowOff>128533</xdr:rowOff>
    </xdr:to>
    <xdr:cxnSp macro="">
      <xdr:nvCxnSpPr>
        <xdr:cNvPr id="56" name="Link 63">
          <a:extLst>
            <a:ext uri="{FF2B5EF4-FFF2-40B4-BE49-F238E27FC236}">
              <a16:creationId xmlns:a16="http://schemas.microsoft.com/office/drawing/2014/main" id="{2F6AC151-A339-4258-8EE0-A6BF02E753B6}"/>
            </a:ext>
          </a:extLst>
        </xdr:cNvPr>
        <xdr:cNvCxnSpPr>
          <a:stCxn id="12383" idx="2"/>
          <a:endCxn id="12382" idx="2"/>
        </xdr:cNvCxnSpPr>
      </xdr:nvCxnSpPr>
      <xdr:spPr>
        <a:xfrm flipV="1">
          <a:off x="10512036" y="3398754"/>
          <a:ext cx="990561" cy="2915"/>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72599</xdr:colOff>
      <xdr:row>16</xdr:row>
      <xdr:rowOff>101855</xdr:rowOff>
    </xdr:from>
    <xdr:to>
      <xdr:col>22</xdr:col>
      <xdr:colOff>82662</xdr:colOff>
      <xdr:row>16</xdr:row>
      <xdr:rowOff>110586</xdr:rowOff>
    </xdr:to>
    <xdr:cxnSp macro="">
      <xdr:nvCxnSpPr>
        <xdr:cNvPr id="57" name="Link 68">
          <a:extLst>
            <a:ext uri="{FF2B5EF4-FFF2-40B4-BE49-F238E27FC236}">
              <a16:creationId xmlns:a16="http://schemas.microsoft.com/office/drawing/2014/main" id="{BFA4A3E4-1069-4F42-8357-12C40869A476}"/>
            </a:ext>
          </a:extLst>
        </xdr:cNvPr>
        <xdr:cNvCxnSpPr>
          <a:stCxn id="12382" idx="0"/>
          <a:endCxn id="12381" idx="0"/>
        </xdr:cNvCxnSpPr>
      </xdr:nvCxnSpPr>
      <xdr:spPr>
        <a:xfrm>
          <a:off x="11502599" y="3011310"/>
          <a:ext cx="1880427" cy="8731"/>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72599</xdr:colOff>
      <xdr:row>18</xdr:row>
      <xdr:rowOff>125618</xdr:rowOff>
    </xdr:from>
    <xdr:to>
      <xdr:col>22</xdr:col>
      <xdr:colOff>82662</xdr:colOff>
      <xdr:row>18</xdr:row>
      <xdr:rowOff>134436</xdr:rowOff>
    </xdr:to>
    <xdr:cxnSp macro="">
      <xdr:nvCxnSpPr>
        <xdr:cNvPr id="58" name="Link 66">
          <a:extLst>
            <a:ext uri="{FF2B5EF4-FFF2-40B4-BE49-F238E27FC236}">
              <a16:creationId xmlns:a16="http://schemas.microsoft.com/office/drawing/2014/main" id="{2BBA9BE9-687F-4A89-A91E-311661AA0CBB}"/>
            </a:ext>
          </a:extLst>
        </xdr:cNvPr>
        <xdr:cNvCxnSpPr>
          <a:stCxn id="12382" idx="2"/>
          <a:endCxn id="12381" idx="2"/>
        </xdr:cNvCxnSpPr>
      </xdr:nvCxnSpPr>
      <xdr:spPr>
        <a:xfrm>
          <a:off x="11502599" y="3398754"/>
          <a:ext cx="1880427" cy="8818"/>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528685</xdr:colOff>
      <xdr:row>17</xdr:row>
      <xdr:rowOff>115825</xdr:rowOff>
    </xdr:from>
    <xdr:to>
      <xdr:col>17</xdr:col>
      <xdr:colOff>532048</xdr:colOff>
      <xdr:row>22</xdr:row>
      <xdr:rowOff>68253</xdr:rowOff>
    </xdr:to>
    <xdr:cxnSp macro="">
      <xdr:nvCxnSpPr>
        <xdr:cNvPr id="59" name="Link 58">
          <a:extLst>
            <a:ext uri="{FF2B5EF4-FFF2-40B4-BE49-F238E27FC236}">
              <a16:creationId xmlns:a16="http://schemas.microsoft.com/office/drawing/2014/main" id="{3AC7BC95-14EA-4754-B9FF-9E9C148EAF11}"/>
            </a:ext>
          </a:extLst>
        </xdr:cNvPr>
        <xdr:cNvCxnSpPr>
          <a:stCxn id="12383" idx="3"/>
          <a:endCxn id="12384" idx="3"/>
        </xdr:cNvCxnSpPr>
      </xdr:nvCxnSpPr>
      <xdr:spPr>
        <a:xfrm>
          <a:off x="10711776" y="3207121"/>
          <a:ext cx="3363" cy="861632"/>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128056</xdr:colOff>
      <xdr:row>17</xdr:row>
      <xdr:rowOff>115825</xdr:rowOff>
    </xdr:from>
    <xdr:to>
      <xdr:col>17</xdr:col>
      <xdr:colOff>131419</xdr:colOff>
      <xdr:row>22</xdr:row>
      <xdr:rowOff>68253</xdr:rowOff>
    </xdr:to>
    <xdr:cxnSp macro="">
      <xdr:nvCxnSpPr>
        <xdr:cNvPr id="60" name="Link 62">
          <a:extLst>
            <a:ext uri="{FF2B5EF4-FFF2-40B4-BE49-F238E27FC236}">
              <a16:creationId xmlns:a16="http://schemas.microsoft.com/office/drawing/2014/main" id="{857F4D6E-F3DA-4601-BAE6-7175958C58DE}"/>
            </a:ext>
          </a:extLst>
        </xdr:cNvPr>
        <xdr:cNvCxnSpPr>
          <a:stCxn id="12383" idx="1"/>
          <a:endCxn id="12384" idx="1"/>
        </xdr:cNvCxnSpPr>
      </xdr:nvCxnSpPr>
      <xdr:spPr>
        <a:xfrm>
          <a:off x="10311147" y="3207121"/>
          <a:ext cx="3363" cy="861632"/>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515405</xdr:colOff>
      <xdr:row>22</xdr:row>
      <xdr:rowOff>68253</xdr:rowOff>
    </xdr:from>
    <xdr:to>
      <xdr:col>17</xdr:col>
      <xdr:colOff>532048</xdr:colOff>
      <xdr:row>26</xdr:row>
      <xdr:rowOff>146709</xdr:rowOff>
    </xdr:to>
    <xdr:cxnSp macro="">
      <xdr:nvCxnSpPr>
        <xdr:cNvPr id="61" name="Link 55">
          <a:extLst>
            <a:ext uri="{FF2B5EF4-FFF2-40B4-BE49-F238E27FC236}">
              <a16:creationId xmlns:a16="http://schemas.microsoft.com/office/drawing/2014/main" id="{DB14E8A3-64AA-4A60-B0AD-1D1FD9220808}"/>
            </a:ext>
          </a:extLst>
        </xdr:cNvPr>
        <xdr:cNvCxnSpPr>
          <a:stCxn id="12384" idx="3"/>
          <a:endCxn id="12385" idx="3"/>
        </xdr:cNvCxnSpPr>
      </xdr:nvCxnSpPr>
      <xdr:spPr>
        <a:xfrm flipH="1">
          <a:off x="10698496" y="4068753"/>
          <a:ext cx="16643" cy="805820"/>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114777</xdr:colOff>
      <xdr:row>22</xdr:row>
      <xdr:rowOff>68253</xdr:rowOff>
    </xdr:from>
    <xdr:to>
      <xdr:col>17</xdr:col>
      <xdr:colOff>131420</xdr:colOff>
      <xdr:row>26</xdr:row>
      <xdr:rowOff>146709</xdr:rowOff>
    </xdr:to>
    <xdr:cxnSp macro="">
      <xdr:nvCxnSpPr>
        <xdr:cNvPr id="62" name="Link 57">
          <a:extLst>
            <a:ext uri="{FF2B5EF4-FFF2-40B4-BE49-F238E27FC236}">
              <a16:creationId xmlns:a16="http://schemas.microsoft.com/office/drawing/2014/main" id="{43F6B096-D10E-4DF1-9A09-2DE1B5CAE177}"/>
            </a:ext>
          </a:extLst>
        </xdr:cNvPr>
        <xdr:cNvCxnSpPr>
          <a:stCxn id="12384" idx="1"/>
          <a:endCxn id="12385" idx="1"/>
        </xdr:cNvCxnSpPr>
      </xdr:nvCxnSpPr>
      <xdr:spPr>
        <a:xfrm flipH="1">
          <a:off x="10297868" y="4068753"/>
          <a:ext cx="16643" cy="805820"/>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515405</xdr:colOff>
      <xdr:row>26</xdr:row>
      <xdr:rowOff>146709</xdr:rowOff>
    </xdr:from>
    <xdr:to>
      <xdr:col>17</xdr:col>
      <xdr:colOff>534174</xdr:colOff>
      <xdr:row>31</xdr:row>
      <xdr:rowOff>18907</xdr:rowOff>
    </xdr:to>
    <xdr:cxnSp macro="">
      <xdr:nvCxnSpPr>
        <xdr:cNvPr id="63" name="Link 52">
          <a:extLst>
            <a:ext uri="{FF2B5EF4-FFF2-40B4-BE49-F238E27FC236}">
              <a16:creationId xmlns:a16="http://schemas.microsoft.com/office/drawing/2014/main" id="{D5421F43-2184-4F9A-AC73-E89FEC402DAD}"/>
            </a:ext>
          </a:extLst>
        </xdr:cNvPr>
        <xdr:cNvCxnSpPr>
          <a:stCxn id="12385" idx="3"/>
          <a:endCxn id="12386" idx="3"/>
        </xdr:cNvCxnSpPr>
      </xdr:nvCxnSpPr>
      <xdr:spPr>
        <a:xfrm>
          <a:off x="10698496" y="4874573"/>
          <a:ext cx="18769" cy="781403"/>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114777</xdr:colOff>
      <xdr:row>26</xdr:row>
      <xdr:rowOff>146709</xdr:rowOff>
    </xdr:from>
    <xdr:to>
      <xdr:col>17</xdr:col>
      <xdr:colOff>133546</xdr:colOff>
      <xdr:row>31</xdr:row>
      <xdr:rowOff>18907</xdr:rowOff>
    </xdr:to>
    <xdr:cxnSp macro="">
      <xdr:nvCxnSpPr>
        <xdr:cNvPr id="12288" name="Link 54">
          <a:extLst>
            <a:ext uri="{FF2B5EF4-FFF2-40B4-BE49-F238E27FC236}">
              <a16:creationId xmlns:a16="http://schemas.microsoft.com/office/drawing/2014/main" id="{928ABE15-1377-4A16-A80F-9F4FD18CD8A7}"/>
            </a:ext>
          </a:extLst>
        </xdr:cNvPr>
        <xdr:cNvCxnSpPr>
          <a:stCxn id="12385" idx="1"/>
          <a:endCxn id="12386" idx="1"/>
        </xdr:cNvCxnSpPr>
      </xdr:nvCxnSpPr>
      <xdr:spPr>
        <a:xfrm>
          <a:off x="10297868" y="4874573"/>
          <a:ext cx="18769" cy="781403"/>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53924</xdr:colOff>
      <xdr:row>32</xdr:row>
      <xdr:rowOff>30834</xdr:rowOff>
    </xdr:from>
    <xdr:to>
      <xdr:col>17</xdr:col>
      <xdr:colOff>334435</xdr:colOff>
      <xdr:row>32</xdr:row>
      <xdr:rowOff>40432</xdr:rowOff>
    </xdr:to>
    <xdr:cxnSp macro="">
      <xdr:nvCxnSpPr>
        <xdr:cNvPr id="12293" name="Link 7">
          <a:extLst>
            <a:ext uri="{FF2B5EF4-FFF2-40B4-BE49-F238E27FC236}">
              <a16:creationId xmlns:a16="http://schemas.microsoft.com/office/drawing/2014/main" id="{7CE6F34A-0DF6-460A-8BB2-847A0652BC09}"/>
            </a:ext>
          </a:extLst>
        </xdr:cNvPr>
        <xdr:cNvCxnSpPr>
          <a:stCxn id="12400" idx="2"/>
          <a:endCxn id="12386" idx="2"/>
        </xdr:cNvCxnSpPr>
      </xdr:nvCxnSpPr>
      <xdr:spPr>
        <a:xfrm flipV="1">
          <a:off x="9613560" y="5849743"/>
          <a:ext cx="903966" cy="9598"/>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53924</xdr:colOff>
      <xdr:row>30</xdr:row>
      <xdr:rowOff>6984</xdr:rowOff>
    </xdr:from>
    <xdr:to>
      <xdr:col>17</xdr:col>
      <xdr:colOff>334435</xdr:colOff>
      <xdr:row>30</xdr:row>
      <xdr:rowOff>16582</xdr:rowOff>
    </xdr:to>
    <xdr:cxnSp macro="">
      <xdr:nvCxnSpPr>
        <xdr:cNvPr id="12294" name="Link 50">
          <a:extLst>
            <a:ext uri="{FF2B5EF4-FFF2-40B4-BE49-F238E27FC236}">
              <a16:creationId xmlns:a16="http://schemas.microsoft.com/office/drawing/2014/main" id="{32EE51B3-F88C-4EB7-85B7-187C2683EF15}"/>
            </a:ext>
          </a:extLst>
        </xdr:cNvPr>
        <xdr:cNvCxnSpPr>
          <a:stCxn id="12400" idx="0"/>
          <a:endCxn id="12386" idx="0"/>
        </xdr:cNvCxnSpPr>
      </xdr:nvCxnSpPr>
      <xdr:spPr>
        <a:xfrm flipV="1">
          <a:off x="9613560" y="5462211"/>
          <a:ext cx="903966" cy="9598"/>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334435</xdr:colOff>
      <xdr:row>32</xdr:row>
      <xdr:rowOff>8890</xdr:rowOff>
    </xdr:from>
    <xdr:to>
      <xdr:col>22</xdr:col>
      <xdr:colOff>88682</xdr:colOff>
      <xdr:row>32</xdr:row>
      <xdr:rowOff>30834</xdr:rowOff>
    </xdr:to>
    <xdr:cxnSp macro="">
      <xdr:nvCxnSpPr>
        <xdr:cNvPr id="12295" name="Link 53">
          <a:extLst>
            <a:ext uri="{FF2B5EF4-FFF2-40B4-BE49-F238E27FC236}">
              <a16:creationId xmlns:a16="http://schemas.microsoft.com/office/drawing/2014/main" id="{AD30B809-90EF-409B-BB7B-07A13C41BCEC}"/>
            </a:ext>
          </a:extLst>
        </xdr:cNvPr>
        <xdr:cNvCxnSpPr>
          <a:stCxn id="12386" idx="2"/>
          <a:endCxn id="12371" idx="2"/>
        </xdr:cNvCxnSpPr>
      </xdr:nvCxnSpPr>
      <xdr:spPr>
        <a:xfrm flipV="1">
          <a:off x="10517526" y="5827799"/>
          <a:ext cx="2871520" cy="21944"/>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334435</xdr:colOff>
      <xdr:row>29</xdr:row>
      <xdr:rowOff>166881</xdr:rowOff>
    </xdr:from>
    <xdr:to>
      <xdr:col>22</xdr:col>
      <xdr:colOff>88682</xdr:colOff>
      <xdr:row>30</xdr:row>
      <xdr:rowOff>6985</xdr:rowOff>
    </xdr:to>
    <xdr:cxnSp macro="">
      <xdr:nvCxnSpPr>
        <xdr:cNvPr id="12296" name="Link 101">
          <a:extLst>
            <a:ext uri="{FF2B5EF4-FFF2-40B4-BE49-F238E27FC236}">
              <a16:creationId xmlns:a16="http://schemas.microsoft.com/office/drawing/2014/main" id="{6878581E-7242-4918-86AB-7426DD0AA5E2}"/>
            </a:ext>
          </a:extLst>
        </xdr:cNvPr>
        <xdr:cNvCxnSpPr>
          <a:stCxn id="12386" idx="0"/>
          <a:endCxn id="12371" idx="0"/>
        </xdr:cNvCxnSpPr>
      </xdr:nvCxnSpPr>
      <xdr:spPr>
        <a:xfrm flipV="1">
          <a:off x="10517526" y="5440268"/>
          <a:ext cx="2871520" cy="21944"/>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310512</xdr:colOff>
      <xdr:row>27</xdr:row>
      <xdr:rowOff>144404</xdr:rowOff>
    </xdr:from>
    <xdr:to>
      <xdr:col>22</xdr:col>
      <xdr:colOff>89388</xdr:colOff>
      <xdr:row>27</xdr:row>
      <xdr:rowOff>158634</xdr:rowOff>
    </xdr:to>
    <xdr:cxnSp macro="">
      <xdr:nvCxnSpPr>
        <xdr:cNvPr id="12297" name="Link 56">
          <a:extLst>
            <a:ext uri="{FF2B5EF4-FFF2-40B4-BE49-F238E27FC236}">
              <a16:creationId xmlns:a16="http://schemas.microsoft.com/office/drawing/2014/main" id="{83D9EDFD-E9E5-4E73-8A61-DE33D2041B6B}"/>
            </a:ext>
          </a:extLst>
        </xdr:cNvPr>
        <xdr:cNvCxnSpPr>
          <a:stCxn id="12385" idx="2"/>
          <a:endCxn id="12370" idx="2"/>
        </xdr:cNvCxnSpPr>
      </xdr:nvCxnSpPr>
      <xdr:spPr>
        <a:xfrm flipV="1">
          <a:off x="10493603" y="5054109"/>
          <a:ext cx="2896149" cy="14230"/>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310512</xdr:colOff>
      <xdr:row>25</xdr:row>
      <xdr:rowOff>120553</xdr:rowOff>
    </xdr:from>
    <xdr:to>
      <xdr:col>22</xdr:col>
      <xdr:colOff>89388</xdr:colOff>
      <xdr:row>25</xdr:row>
      <xdr:rowOff>134783</xdr:rowOff>
    </xdr:to>
    <xdr:cxnSp macro="">
      <xdr:nvCxnSpPr>
        <xdr:cNvPr id="12298" name="Link 105">
          <a:extLst>
            <a:ext uri="{FF2B5EF4-FFF2-40B4-BE49-F238E27FC236}">
              <a16:creationId xmlns:a16="http://schemas.microsoft.com/office/drawing/2014/main" id="{E0BB0E61-FDDC-4D27-8364-282BC107B26B}"/>
            </a:ext>
          </a:extLst>
        </xdr:cNvPr>
        <xdr:cNvCxnSpPr>
          <a:stCxn id="12385" idx="0"/>
          <a:endCxn id="12370" idx="0"/>
        </xdr:cNvCxnSpPr>
      </xdr:nvCxnSpPr>
      <xdr:spPr>
        <a:xfrm flipV="1">
          <a:off x="10493603" y="4666577"/>
          <a:ext cx="2896149" cy="14230"/>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332309</xdr:colOff>
      <xdr:row>23</xdr:row>
      <xdr:rowOff>80176</xdr:rowOff>
    </xdr:from>
    <xdr:to>
      <xdr:col>22</xdr:col>
      <xdr:colOff>83017</xdr:colOff>
      <xdr:row>23</xdr:row>
      <xdr:rowOff>93372</xdr:rowOff>
    </xdr:to>
    <xdr:cxnSp macro="">
      <xdr:nvCxnSpPr>
        <xdr:cNvPr id="12299" name="Link 59">
          <a:extLst>
            <a:ext uri="{FF2B5EF4-FFF2-40B4-BE49-F238E27FC236}">
              <a16:creationId xmlns:a16="http://schemas.microsoft.com/office/drawing/2014/main" id="{52963BFC-0542-41E1-B7C3-9750CE26AA4B}"/>
            </a:ext>
          </a:extLst>
        </xdr:cNvPr>
        <xdr:cNvCxnSpPr>
          <a:stCxn id="12384" idx="2"/>
          <a:endCxn id="12369" idx="2"/>
        </xdr:cNvCxnSpPr>
      </xdr:nvCxnSpPr>
      <xdr:spPr>
        <a:xfrm>
          <a:off x="10515400" y="4262518"/>
          <a:ext cx="2867981" cy="13196"/>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332309</xdr:colOff>
      <xdr:row>21</xdr:row>
      <xdr:rowOff>56329</xdr:rowOff>
    </xdr:from>
    <xdr:to>
      <xdr:col>22</xdr:col>
      <xdr:colOff>83017</xdr:colOff>
      <xdr:row>21</xdr:row>
      <xdr:rowOff>69525</xdr:rowOff>
    </xdr:to>
    <xdr:cxnSp macro="">
      <xdr:nvCxnSpPr>
        <xdr:cNvPr id="12300" name="Link 109">
          <a:extLst>
            <a:ext uri="{FF2B5EF4-FFF2-40B4-BE49-F238E27FC236}">
              <a16:creationId xmlns:a16="http://schemas.microsoft.com/office/drawing/2014/main" id="{564EE588-C4AA-443D-A9F2-EC472006D19F}"/>
            </a:ext>
          </a:extLst>
        </xdr:cNvPr>
        <xdr:cNvCxnSpPr>
          <a:stCxn id="12384" idx="0"/>
          <a:endCxn id="12369" idx="0"/>
        </xdr:cNvCxnSpPr>
      </xdr:nvCxnSpPr>
      <xdr:spPr>
        <a:xfrm>
          <a:off x="10515400" y="3874989"/>
          <a:ext cx="2867981" cy="13196"/>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282401</xdr:colOff>
      <xdr:row>17</xdr:row>
      <xdr:rowOff>122510</xdr:rowOff>
    </xdr:from>
    <xdr:to>
      <xdr:col>22</xdr:col>
      <xdr:colOff>282756</xdr:colOff>
      <xdr:row>22</xdr:row>
      <xdr:rowOff>81449</xdr:rowOff>
    </xdr:to>
    <xdr:cxnSp macro="">
      <xdr:nvCxnSpPr>
        <xdr:cNvPr id="12301" name="Link 110">
          <a:extLst>
            <a:ext uri="{FF2B5EF4-FFF2-40B4-BE49-F238E27FC236}">
              <a16:creationId xmlns:a16="http://schemas.microsoft.com/office/drawing/2014/main" id="{A2E628C4-6064-449F-81BF-8EC828C6365B}"/>
            </a:ext>
          </a:extLst>
        </xdr:cNvPr>
        <xdr:cNvCxnSpPr>
          <a:stCxn id="12381" idx="3"/>
          <a:endCxn id="12369" idx="3"/>
        </xdr:cNvCxnSpPr>
      </xdr:nvCxnSpPr>
      <xdr:spPr>
        <a:xfrm>
          <a:off x="13582765" y="3213806"/>
          <a:ext cx="355" cy="868143"/>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510382</xdr:colOff>
      <xdr:row>17</xdr:row>
      <xdr:rowOff>122510</xdr:rowOff>
    </xdr:from>
    <xdr:to>
      <xdr:col>21</xdr:col>
      <xdr:colOff>510737</xdr:colOff>
      <xdr:row>22</xdr:row>
      <xdr:rowOff>81449</xdr:rowOff>
    </xdr:to>
    <xdr:cxnSp macro="">
      <xdr:nvCxnSpPr>
        <xdr:cNvPr id="12302" name="Link 70">
          <a:extLst>
            <a:ext uri="{FF2B5EF4-FFF2-40B4-BE49-F238E27FC236}">
              <a16:creationId xmlns:a16="http://schemas.microsoft.com/office/drawing/2014/main" id="{33FF691E-7FE6-4E9D-8AD8-A3EA32847B69}"/>
            </a:ext>
          </a:extLst>
        </xdr:cNvPr>
        <xdr:cNvCxnSpPr>
          <a:stCxn id="12381" idx="1"/>
          <a:endCxn id="12369" idx="1"/>
        </xdr:cNvCxnSpPr>
      </xdr:nvCxnSpPr>
      <xdr:spPr>
        <a:xfrm>
          <a:off x="13187291" y="3213806"/>
          <a:ext cx="355" cy="868143"/>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83017</xdr:colOff>
      <xdr:row>23</xdr:row>
      <xdr:rowOff>90632</xdr:rowOff>
    </xdr:from>
    <xdr:to>
      <xdr:col>25</xdr:col>
      <xdr:colOff>37880</xdr:colOff>
      <xdr:row>23</xdr:row>
      <xdr:rowOff>93372</xdr:rowOff>
    </xdr:to>
    <xdr:cxnSp macro="">
      <xdr:nvCxnSpPr>
        <xdr:cNvPr id="12303" name="Link 112">
          <a:extLst>
            <a:ext uri="{FF2B5EF4-FFF2-40B4-BE49-F238E27FC236}">
              <a16:creationId xmlns:a16="http://schemas.microsoft.com/office/drawing/2014/main" id="{354B352F-5478-4A9D-88DB-CBEFB69DDB7B}"/>
            </a:ext>
          </a:extLst>
        </xdr:cNvPr>
        <xdr:cNvCxnSpPr>
          <a:stCxn id="12369" idx="2"/>
          <a:endCxn id="12368" idx="2"/>
        </xdr:cNvCxnSpPr>
      </xdr:nvCxnSpPr>
      <xdr:spPr>
        <a:xfrm flipV="1">
          <a:off x="13383381" y="4272974"/>
          <a:ext cx="1825226" cy="2740"/>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83017</xdr:colOff>
      <xdr:row>21</xdr:row>
      <xdr:rowOff>66784</xdr:rowOff>
    </xdr:from>
    <xdr:to>
      <xdr:col>25</xdr:col>
      <xdr:colOff>37880</xdr:colOff>
      <xdr:row>21</xdr:row>
      <xdr:rowOff>69524</xdr:rowOff>
    </xdr:to>
    <xdr:cxnSp macro="">
      <xdr:nvCxnSpPr>
        <xdr:cNvPr id="12304" name="Link 114">
          <a:extLst>
            <a:ext uri="{FF2B5EF4-FFF2-40B4-BE49-F238E27FC236}">
              <a16:creationId xmlns:a16="http://schemas.microsoft.com/office/drawing/2014/main" id="{1A1E90B2-DA6F-4788-A378-4F86432FD811}"/>
            </a:ext>
          </a:extLst>
        </xdr:cNvPr>
        <xdr:cNvCxnSpPr>
          <a:stCxn id="12369" idx="0"/>
          <a:endCxn id="12368" idx="0"/>
        </xdr:cNvCxnSpPr>
      </xdr:nvCxnSpPr>
      <xdr:spPr>
        <a:xfrm flipV="1">
          <a:off x="13383381" y="3885444"/>
          <a:ext cx="1825226" cy="2740"/>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227069</xdr:colOff>
      <xdr:row>17</xdr:row>
      <xdr:rowOff>114622</xdr:rowOff>
    </xdr:from>
    <xdr:to>
      <xdr:col>25</xdr:col>
      <xdr:colOff>233617</xdr:colOff>
      <xdr:row>22</xdr:row>
      <xdr:rowOff>78710</xdr:rowOff>
    </xdr:to>
    <xdr:cxnSp macro="">
      <xdr:nvCxnSpPr>
        <xdr:cNvPr id="12305" name="Link 113">
          <a:extLst>
            <a:ext uri="{FF2B5EF4-FFF2-40B4-BE49-F238E27FC236}">
              <a16:creationId xmlns:a16="http://schemas.microsoft.com/office/drawing/2014/main" id="{80310445-5852-4215-9F65-38CE66C6A98E}"/>
            </a:ext>
          </a:extLst>
        </xdr:cNvPr>
        <xdr:cNvCxnSpPr>
          <a:stCxn id="12380" idx="3"/>
          <a:endCxn id="12368" idx="3"/>
        </xdr:cNvCxnSpPr>
      </xdr:nvCxnSpPr>
      <xdr:spPr>
        <a:xfrm>
          <a:off x="15397796" y="3205918"/>
          <a:ext cx="6548" cy="873292"/>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455046</xdr:colOff>
      <xdr:row>17</xdr:row>
      <xdr:rowOff>114622</xdr:rowOff>
    </xdr:from>
    <xdr:to>
      <xdr:col>24</xdr:col>
      <xdr:colOff>461594</xdr:colOff>
      <xdr:row>22</xdr:row>
      <xdr:rowOff>78710</xdr:rowOff>
    </xdr:to>
    <xdr:cxnSp macro="">
      <xdr:nvCxnSpPr>
        <xdr:cNvPr id="12306" name="Link 74">
          <a:extLst>
            <a:ext uri="{FF2B5EF4-FFF2-40B4-BE49-F238E27FC236}">
              <a16:creationId xmlns:a16="http://schemas.microsoft.com/office/drawing/2014/main" id="{4CFB3083-FF2D-4B26-A297-4BA3A38AF34E}"/>
            </a:ext>
          </a:extLst>
        </xdr:cNvPr>
        <xdr:cNvCxnSpPr>
          <a:stCxn id="12380" idx="1"/>
          <a:endCxn id="12368" idx="1"/>
        </xdr:cNvCxnSpPr>
      </xdr:nvCxnSpPr>
      <xdr:spPr>
        <a:xfrm>
          <a:off x="15002319" y="3205918"/>
          <a:ext cx="6548" cy="873292"/>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37880</xdr:colOff>
      <xdr:row>23</xdr:row>
      <xdr:rowOff>81546</xdr:rowOff>
    </xdr:from>
    <xdr:to>
      <xdr:col>26</xdr:col>
      <xdr:colOff>539634</xdr:colOff>
      <xdr:row>23</xdr:row>
      <xdr:rowOff>90632</xdr:rowOff>
    </xdr:to>
    <xdr:cxnSp macro="">
      <xdr:nvCxnSpPr>
        <xdr:cNvPr id="12307" name="Link 115">
          <a:extLst>
            <a:ext uri="{FF2B5EF4-FFF2-40B4-BE49-F238E27FC236}">
              <a16:creationId xmlns:a16="http://schemas.microsoft.com/office/drawing/2014/main" id="{16FEAF67-9A9E-4D7A-B917-BB57FCE4059B}"/>
            </a:ext>
          </a:extLst>
        </xdr:cNvPr>
        <xdr:cNvCxnSpPr>
          <a:stCxn id="12368" idx="2"/>
          <a:endCxn id="12367" idx="2"/>
        </xdr:cNvCxnSpPr>
      </xdr:nvCxnSpPr>
      <xdr:spPr>
        <a:xfrm flipV="1">
          <a:off x="15208607" y="4263888"/>
          <a:ext cx="1125209" cy="9086"/>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37880</xdr:colOff>
      <xdr:row>21</xdr:row>
      <xdr:rowOff>57698</xdr:rowOff>
    </xdr:from>
    <xdr:to>
      <xdr:col>26</xdr:col>
      <xdr:colOff>539634</xdr:colOff>
      <xdr:row>21</xdr:row>
      <xdr:rowOff>66784</xdr:rowOff>
    </xdr:to>
    <xdr:cxnSp macro="">
      <xdr:nvCxnSpPr>
        <xdr:cNvPr id="12308" name="Link 118">
          <a:extLst>
            <a:ext uri="{FF2B5EF4-FFF2-40B4-BE49-F238E27FC236}">
              <a16:creationId xmlns:a16="http://schemas.microsoft.com/office/drawing/2014/main" id="{F068D020-15C2-4AB9-AC5D-B022B53FD3F8}"/>
            </a:ext>
          </a:extLst>
        </xdr:cNvPr>
        <xdr:cNvCxnSpPr>
          <a:stCxn id="12368" idx="0"/>
          <a:endCxn id="12367" idx="0"/>
        </xdr:cNvCxnSpPr>
      </xdr:nvCxnSpPr>
      <xdr:spPr>
        <a:xfrm flipV="1">
          <a:off x="15208607" y="3876358"/>
          <a:ext cx="1125209" cy="9086"/>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282756</xdr:colOff>
      <xdr:row>22</xdr:row>
      <xdr:rowOff>81449</xdr:rowOff>
    </xdr:from>
    <xdr:to>
      <xdr:col>22</xdr:col>
      <xdr:colOff>289128</xdr:colOff>
      <xdr:row>26</xdr:row>
      <xdr:rowOff>132478</xdr:rowOff>
    </xdr:to>
    <xdr:cxnSp macro="">
      <xdr:nvCxnSpPr>
        <xdr:cNvPr id="12309" name="Link 107">
          <a:extLst>
            <a:ext uri="{FF2B5EF4-FFF2-40B4-BE49-F238E27FC236}">
              <a16:creationId xmlns:a16="http://schemas.microsoft.com/office/drawing/2014/main" id="{F104727D-218D-40AD-B3F2-418F197035B6}"/>
            </a:ext>
          </a:extLst>
        </xdr:cNvPr>
        <xdr:cNvCxnSpPr>
          <a:stCxn id="12369" idx="3"/>
          <a:endCxn id="12370" idx="3"/>
        </xdr:cNvCxnSpPr>
      </xdr:nvCxnSpPr>
      <xdr:spPr>
        <a:xfrm>
          <a:off x="13583120" y="4081949"/>
          <a:ext cx="6372" cy="778393"/>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510736</xdr:colOff>
      <xdr:row>22</xdr:row>
      <xdr:rowOff>81449</xdr:rowOff>
    </xdr:from>
    <xdr:to>
      <xdr:col>21</xdr:col>
      <xdr:colOff>517108</xdr:colOff>
      <xdr:row>26</xdr:row>
      <xdr:rowOff>132478</xdr:rowOff>
    </xdr:to>
    <xdr:cxnSp macro="">
      <xdr:nvCxnSpPr>
        <xdr:cNvPr id="12310" name="Link 111">
          <a:extLst>
            <a:ext uri="{FF2B5EF4-FFF2-40B4-BE49-F238E27FC236}">
              <a16:creationId xmlns:a16="http://schemas.microsoft.com/office/drawing/2014/main" id="{34E8565A-B687-4969-90FB-D5D3E904B31F}"/>
            </a:ext>
          </a:extLst>
        </xdr:cNvPr>
        <xdr:cNvCxnSpPr>
          <a:stCxn id="12369" idx="1"/>
          <a:endCxn id="12370" idx="1"/>
        </xdr:cNvCxnSpPr>
      </xdr:nvCxnSpPr>
      <xdr:spPr>
        <a:xfrm>
          <a:off x="13187645" y="4081949"/>
          <a:ext cx="6372" cy="778393"/>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288422</xdr:colOff>
      <xdr:row>26</xdr:row>
      <xdr:rowOff>132479</xdr:rowOff>
    </xdr:from>
    <xdr:to>
      <xdr:col>22</xdr:col>
      <xdr:colOff>289127</xdr:colOff>
      <xdr:row>30</xdr:row>
      <xdr:rowOff>178806</xdr:rowOff>
    </xdr:to>
    <xdr:cxnSp macro="">
      <xdr:nvCxnSpPr>
        <xdr:cNvPr id="12311" name="Link 103">
          <a:extLst>
            <a:ext uri="{FF2B5EF4-FFF2-40B4-BE49-F238E27FC236}">
              <a16:creationId xmlns:a16="http://schemas.microsoft.com/office/drawing/2014/main" id="{A3EC6D5D-80CD-4873-B427-64782C6A8535}"/>
            </a:ext>
          </a:extLst>
        </xdr:cNvPr>
        <xdr:cNvCxnSpPr>
          <a:stCxn id="12370" idx="3"/>
          <a:endCxn id="12371" idx="3"/>
        </xdr:cNvCxnSpPr>
      </xdr:nvCxnSpPr>
      <xdr:spPr>
        <a:xfrm flipH="1">
          <a:off x="13588786" y="4860343"/>
          <a:ext cx="705" cy="773690"/>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516403</xdr:colOff>
      <xdr:row>26</xdr:row>
      <xdr:rowOff>132479</xdr:rowOff>
    </xdr:from>
    <xdr:to>
      <xdr:col>21</xdr:col>
      <xdr:colOff>517108</xdr:colOff>
      <xdr:row>30</xdr:row>
      <xdr:rowOff>178806</xdr:rowOff>
    </xdr:to>
    <xdr:cxnSp macro="">
      <xdr:nvCxnSpPr>
        <xdr:cNvPr id="12312" name="Link 106">
          <a:extLst>
            <a:ext uri="{FF2B5EF4-FFF2-40B4-BE49-F238E27FC236}">
              <a16:creationId xmlns:a16="http://schemas.microsoft.com/office/drawing/2014/main" id="{2CC83760-662E-4EBF-A743-C639F975332D}"/>
            </a:ext>
          </a:extLst>
        </xdr:cNvPr>
        <xdr:cNvCxnSpPr>
          <a:stCxn id="12370" idx="1"/>
          <a:endCxn id="12371" idx="1"/>
        </xdr:cNvCxnSpPr>
      </xdr:nvCxnSpPr>
      <xdr:spPr>
        <a:xfrm flipH="1">
          <a:off x="13193312" y="4860343"/>
          <a:ext cx="705" cy="773690"/>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281516</xdr:colOff>
      <xdr:row>30</xdr:row>
      <xdr:rowOff>178806</xdr:rowOff>
    </xdr:from>
    <xdr:to>
      <xdr:col>22</xdr:col>
      <xdr:colOff>288421</xdr:colOff>
      <xdr:row>43</xdr:row>
      <xdr:rowOff>2960</xdr:rowOff>
    </xdr:to>
    <xdr:cxnSp macro="">
      <xdr:nvCxnSpPr>
        <xdr:cNvPr id="12313" name="Link 100">
          <a:extLst>
            <a:ext uri="{FF2B5EF4-FFF2-40B4-BE49-F238E27FC236}">
              <a16:creationId xmlns:a16="http://schemas.microsoft.com/office/drawing/2014/main" id="{E3292847-AA96-4D27-B4A0-4B017C61AE56}"/>
            </a:ext>
          </a:extLst>
        </xdr:cNvPr>
        <xdr:cNvCxnSpPr>
          <a:stCxn id="12371" idx="3"/>
          <a:endCxn id="12372" idx="3"/>
        </xdr:cNvCxnSpPr>
      </xdr:nvCxnSpPr>
      <xdr:spPr>
        <a:xfrm flipH="1">
          <a:off x="13581880" y="5634033"/>
          <a:ext cx="6905" cy="2188087"/>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509497</xdr:colOff>
      <xdr:row>30</xdr:row>
      <xdr:rowOff>178806</xdr:rowOff>
    </xdr:from>
    <xdr:to>
      <xdr:col>21</xdr:col>
      <xdr:colOff>516402</xdr:colOff>
      <xdr:row>43</xdr:row>
      <xdr:rowOff>2960</xdr:rowOff>
    </xdr:to>
    <xdr:cxnSp macro="">
      <xdr:nvCxnSpPr>
        <xdr:cNvPr id="12314" name="Link 102">
          <a:extLst>
            <a:ext uri="{FF2B5EF4-FFF2-40B4-BE49-F238E27FC236}">
              <a16:creationId xmlns:a16="http://schemas.microsoft.com/office/drawing/2014/main" id="{6CC89C79-1789-4F4F-B09B-67934C082BBD}"/>
            </a:ext>
          </a:extLst>
        </xdr:cNvPr>
        <xdr:cNvCxnSpPr>
          <a:stCxn id="12371" idx="1"/>
          <a:endCxn id="12372" idx="1"/>
        </xdr:cNvCxnSpPr>
      </xdr:nvCxnSpPr>
      <xdr:spPr>
        <a:xfrm flipH="1">
          <a:off x="13186406" y="5634033"/>
          <a:ext cx="6905" cy="2188087"/>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353379</xdr:colOff>
      <xdr:row>44</xdr:row>
      <xdr:rowOff>14885</xdr:rowOff>
    </xdr:from>
    <xdr:to>
      <xdr:col>22</xdr:col>
      <xdr:colOff>81777</xdr:colOff>
      <xdr:row>48</xdr:row>
      <xdr:rowOff>132427</xdr:rowOff>
    </xdr:to>
    <xdr:cxnSp macro="">
      <xdr:nvCxnSpPr>
        <xdr:cNvPr id="12315" name="Link 49">
          <a:extLst>
            <a:ext uri="{FF2B5EF4-FFF2-40B4-BE49-F238E27FC236}">
              <a16:creationId xmlns:a16="http://schemas.microsoft.com/office/drawing/2014/main" id="{0C483B26-32B2-4B45-BF3C-95CE3890C8BD}"/>
            </a:ext>
          </a:extLst>
        </xdr:cNvPr>
        <xdr:cNvCxnSpPr>
          <a:stCxn id="12372" idx="2"/>
          <a:endCxn id="12387" idx="2"/>
        </xdr:cNvCxnSpPr>
      </xdr:nvCxnSpPr>
      <xdr:spPr>
        <a:xfrm flipH="1">
          <a:off x="10536470" y="8015885"/>
          <a:ext cx="2845671" cy="844906"/>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353379</xdr:colOff>
      <xdr:row>41</xdr:row>
      <xdr:rowOff>172876</xdr:rowOff>
    </xdr:from>
    <xdr:to>
      <xdr:col>22</xdr:col>
      <xdr:colOff>81777</xdr:colOff>
      <xdr:row>46</xdr:row>
      <xdr:rowOff>108578</xdr:rowOff>
    </xdr:to>
    <xdr:cxnSp macro="">
      <xdr:nvCxnSpPr>
        <xdr:cNvPr id="12316" name="Link 98">
          <a:extLst>
            <a:ext uri="{FF2B5EF4-FFF2-40B4-BE49-F238E27FC236}">
              <a16:creationId xmlns:a16="http://schemas.microsoft.com/office/drawing/2014/main" id="{153A68D2-6F2B-4375-BC03-6E43D9A543F1}"/>
            </a:ext>
          </a:extLst>
        </xdr:cNvPr>
        <xdr:cNvCxnSpPr>
          <a:stCxn id="12372" idx="0"/>
          <a:endCxn id="12387" idx="0"/>
        </xdr:cNvCxnSpPr>
      </xdr:nvCxnSpPr>
      <xdr:spPr>
        <a:xfrm flipH="1">
          <a:off x="10536470" y="7628354"/>
          <a:ext cx="2845671" cy="844906"/>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353379</xdr:colOff>
      <xdr:row>48</xdr:row>
      <xdr:rowOff>124371</xdr:rowOff>
    </xdr:from>
    <xdr:to>
      <xdr:col>25</xdr:col>
      <xdr:colOff>24778</xdr:colOff>
      <xdr:row>48</xdr:row>
      <xdr:rowOff>132427</xdr:rowOff>
    </xdr:to>
    <xdr:cxnSp macro="">
      <xdr:nvCxnSpPr>
        <xdr:cNvPr id="12317" name="Link 47">
          <a:extLst>
            <a:ext uri="{FF2B5EF4-FFF2-40B4-BE49-F238E27FC236}">
              <a16:creationId xmlns:a16="http://schemas.microsoft.com/office/drawing/2014/main" id="{C62ECC51-8A04-4EB2-B32A-11BB8A6622FA}"/>
            </a:ext>
          </a:extLst>
        </xdr:cNvPr>
        <xdr:cNvCxnSpPr>
          <a:stCxn id="12387" idx="2"/>
          <a:endCxn id="12388" idx="2"/>
        </xdr:cNvCxnSpPr>
      </xdr:nvCxnSpPr>
      <xdr:spPr>
        <a:xfrm flipV="1">
          <a:off x="10536470" y="8852735"/>
          <a:ext cx="4659035" cy="8056"/>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353379</xdr:colOff>
      <xdr:row>46</xdr:row>
      <xdr:rowOff>101392</xdr:rowOff>
    </xdr:from>
    <xdr:to>
      <xdr:col>25</xdr:col>
      <xdr:colOff>24778</xdr:colOff>
      <xdr:row>46</xdr:row>
      <xdr:rowOff>108578</xdr:rowOff>
    </xdr:to>
    <xdr:cxnSp macro="">
      <xdr:nvCxnSpPr>
        <xdr:cNvPr id="12318" name="Link 45">
          <a:extLst>
            <a:ext uri="{FF2B5EF4-FFF2-40B4-BE49-F238E27FC236}">
              <a16:creationId xmlns:a16="http://schemas.microsoft.com/office/drawing/2014/main" id="{AA4570E2-1C6D-484F-92B8-3750CAF6728A}"/>
            </a:ext>
          </a:extLst>
        </xdr:cNvPr>
        <xdr:cNvCxnSpPr>
          <a:stCxn id="12387" idx="0"/>
          <a:endCxn id="12388" idx="0"/>
        </xdr:cNvCxnSpPr>
      </xdr:nvCxnSpPr>
      <xdr:spPr>
        <a:xfrm flipV="1">
          <a:off x="10536470" y="8466074"/>
          <a:ext cx="4659035" cy="7186"/>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212547</xdr:colOff>
      <xdr:row>42</xdr:row>
      <xdr:rowOff>180860</xdr:rowOff>
    </xdr:from>
    <xdr:to>
      <xdr:col>25</xdr:col>
      <xdr:colOff>220517</xdr:colOff>
      <xdr:row>47</xdr:row>
      <xdr:rowOff>112446</xdr:rowOff>
    </xdr:to>
    <xdr:cxnSp macro="">
      <xdr:nvCxnSpPr>
        <xdr:cNvPr id="12319" name="Link 46">
          <a:extLst>
            <a:ext uri="{FF2B5EF4-FFF2-40B4-BE49-F238E27FC236}">
              <a16:creationId xmlns:a16="http://schemas.microsoft.com/office/drawing/2014/main" id="{89054D47-B334-4500-B4F9-8CAAA3C8BA7E}"/>
            </a:ext>
          </a:extLst>
        </xdr:cNvPr>
        <xdr:cNvCxnSpPr>
          <a:stCxn id="12373" idx="3"/>
          <a:endCxn id="12388" idx="3"/>
        </xdr:cNvCxnSpPr>
      </xdr:nvCxnSpPr>
      <xdr:spPr>
        <a:xfrm>
          <a:off x="15383274" y="7818178"/>
          <a:ext cx="7970" cy="840792"/>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440524</xdr:colOff>
      <xdr:row>42</xdr:row>
      <xdr:rowOff>180860</xdr:rowOff>
    </xdr:from>
    <xdr:to>
      <xdr:col>24</xdr:col>
      <xdr:colOff>448494</xdr:colOff>
      <xdr:row>47</xdr:row>
      <xdr:rowOff>112446</xdr:rowOff>
    </xdr:to>
    <xdr:cxnSp macro="">
      <xdr:nvCxnSpPr>
        <xdr:cNvPr id="12320" name="Link 95">
          <a:extLst>
            <a:ext uri="{FF2B5EF4-FFF2-40B4-BE49-F238E27FC236}">
              <a16:creationId xmlns:a16="http://schemas.microsoft.com/office/drawing/2014/main" id="{4552BC8C-0C21-4E96-98D2-0145AF5F6E89}"/>
            </a:ext>
          </a:extLst>
        </xdr:cNvPr>
        <xdr:cNvCxnSpPr>
          <a:stCxn id="12373" idx="1"/>
          <a:endCxn id="12388" idx="1"/>
        </xdr:cNvCxnSpPr>
      </xdr:nvCxnSpPr>
      <xdr:spPr>
        <a:xfrm>
          <a:off x="14987797" y="7818178"/>
          <a:ext cx="7970" cy="840792"/>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24779</xdr:colOff>
      <xdr:row>48</xdr:row>
      <xdr:rowOff>114942</xdr:rowOff>
    </xdr:from>
    <xdr:to>
      <xdr:col>26</xdr:col>
      <xdr:colOff>540342</xdr:colOff>
      <xdr:row>48</xdr:row>
      <xdr:rowOff>124371</xdr:rowOff>
    </xdr:to>
    <xdr:cxnSp macro="">
      <xdr:nvCxnSpPr>
        <xdr:cNvPr id="12321" name="Link 44">
          <a:extLst>
            <a:ext uri="{FF2B5EF4-FFF2-40B4-BE49-F238E27FC236}">
              <a16:creationId xmlns:a16="http://schemas.microsoft.com/office/drawing/2014/main" id="{38734524-4D51-4973-8C31-BA6BC7EB34D8}"/>
            </a:ext>
          </a:extLst>
        </xdr:cNvPr>
        <xdr:cNvCxnSpPr>
          <a:stCxn id="12388" idx="2"/>
          <a:endCxn id="12389" idx="2"/>
        </xdr:cNvCxnSpPr>
      </xdr:nvCxnSpPr>
      <xdr:spPr>
        <a:xfrm flipV="1">
          <a:off x="15195506" y="8843306"/>
          <a:ext cx="1139018" cy="9429"/>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24779</xdr:colOff>
      <xdr:row>46</xdr:row>
      <xdr:rowOff>91964</xdr:rowOff>
    </xdr:from>
    <xdr:to>
      <xdr:col>26</xdr:col>
      <xdr:colOff>540342</xdr:colOff>
      <xdr:row>46</xdr:row>
      <xdr:rowOff>101393</xdr:rowOff>
    </xdr:to>
    <xdr:cxnSp macro="">
      <xdr:nvCxnSpPr>
        <xdr:cNvPr id="12322" name="Link 41">
          <a:extLst>
            <a:ext uri="{FF2B5EF4-FFF2-40B4-BE49-F238E27FC236}">
              <a16:creationId xmlns:a16="http://schemas.microsoft.com/office/drawing/2014/main" id="{8DA97083-D4B5-4F77-A060-579FC8CF9659}"/>
            </a:ext>
          </a:extLst>
        </xdr:cNvPr>
        <xdr:cNvCxnSpPr>
          <a:stCxn id="12388" idx="0"/>
          <a:endCxn id="12389" idx="0"/>
        </xdr:cNvCxnSpPr>
      </xdr:nvCxnSpPr>
      <xdr:spPr>
        <a:xfrm flipV="1">
          <a:off x="15195506" y="8456646"/>
          <a:ext cx="1139018" cy="9429"/>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81777</xdr:colOff>
      <xdr:row>44</xdr:row>
      <xdr:rowOff>10942</xdr:rowOff>
    </xdr:from>
    <xdr:to>
      <xdr:col>25</xdr:col>
      <xdr:colOff>16809</xdr:colOff>
      <xdr:row>44</xdr:row>
      <xdr:rowOff>14884</xdr:rowOff>
    </xdr:to>
    <xdr:cxnSp macro="">
      <xdr:nvCxnSpPr>
        <xdr:cNvPr id="12323" name="Link 99">
          <a:extLst>
            <a:ext uri="{FF2B5EF4-FFF2-40B4-BE49-F238E27FC236}">
              <a16:creationId xmlns:a16="http://schemas.microsoft.com/office/drawing/2014/main" id="{EAAABB03-D203-44C3-8389-2A1646F49E0E}"/>
            </a:ext>
          </a:extLst>
        </xdr:cNvPr>
        <xdr:cNvCxnSpPr>
          <a:stCxn id="12372" idx="2"/>
          <a:endCxn id="12373" idx="2"/>
        </xdr:cNvCxnSpPr>
      </xdr:nvCxnSpPr>
      <xdr:spPr>
        <a:xfrm flipV="1">
          <a:off x="13382141" y="8011942"/>
          <a:ext cx="1805395" cy="3942"/>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81777</xdr:colOff>
      <xdr:row>41</xdr:row>
      <xdr:rowOff>168933</xdr:rowOff>
    </xdr:from>
    <xdr:to>
      <xdr:col>25</xdr:col>
      <xdr:colOff>16809</xdr:colOff>
      <xdr:row>41</xdr:row>
      <xdr:rowOff>172875</xdr:rowOff>
    </xdr:to>
    <xdr:cxnSp macro="">
      <xdr:nvCxnSpPr>
        <xdr:cNvPr id="12324" name="Link 97">
          <a:extLst>
            <a:ext uri="{FF2B5EF4-FFF2-40B4-BE49-F238E27FC236}">
              <a16:creationId xmlns:a16="http://schemas.microsoft.com/office/drawing/2014/main" id="{5A2CCE4A-EA2B-43CA-945F-F677D166A0B9}"/>
            </a:ext>
          </a:extLst>
        </xdr:cNvPr>
        <xdr:cNvCxnSpPr>
          <a:stCxn id="12372" idx="0"/>
          <a:endCxn id="12373" idx="0"/>
        </xdr:cNvCxnSpPr>
      </xdr:nvCxnSpPr>
      <xdr:spPr>
        <a:xfrm flipV="1">
          <a:off x="13382141" y="7624411"/>
          <a:ext cx="1805395" cy="3942"/>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88682</xdr:colOff>
      <xdr:row>32</xdr:row>
      <xdr:rowOff>8890</xdr:rowOff>
    </xdr:from>
    <xdr:to>
      <xdr:col>25</xdr:col>
      <xdr:colOff>31152</xdr:colOff>
      <xdr:row>32</xdr:row>
      <xdr:rowOff>19861</xdr:rowOff>
    </xdr:to>
    <xdr:cxnSp macro="">
      <xdr:nvCxnSpPr>
        <xdr:cNvPr id="12325" name="Link 104">
          <a:extLst>
            <a:ext uri="{FF2B5EF4-FFF2-40B4-BE49-F238E27FC236}">
              <a16:creationId xmlns:a16="http://schemas.microsoft.com/office/drawing/2014/main" id="{3BB3DD55-4522-432F-9051-D50FD8731E57}"/>
            </a:ext>
          </a:extLst>
        </xdr:cNvPr>
        <xdr:cNvCxnSpPr>
          <a:stCxn id="12371" idx="2"/>
          <a:endCxn id="12364" idx="2"/>
        </xdr:cNvCxnSpPr>
      </xdr:nvCxnSpPr>
      <xdr:spPr>
        <a:xfrm>
          <a:off x="13389046" y="5827799"/>
          <a:ext cx="1812833" cy="10971"/>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88682</xdr:colOff>
      <xdr:row>29</xdr:row>
      <xdr:rowOff>166881</xdr:rowOff>
    </xdr:from>
    <xdr:to>
      <xdr:col>25</xdr:col>
      <xdr:colOff>31152</xdr:colOff>
      <xdr:row>29</xdr:row>
      <xdr:rowOff>177852</xdr:rowOff>
    </xdr:to>
    <xdr:cxnSp macro="">
      <xdr:nvCxnSpPr>
        <xdr:cNvPr id="12326" name="Link 126">
          <a:extLst>
            <a:ext uri="{FF2B5EF4-FFF2-40B4-BE49-F238E27FC236}">
              <a16:creationId xmlns:a16="http://schemas.microsoft.com/office/drawing/2014/main" id="{1CC1AB14-E197-4F1B-BD36-4B0A2F86E3C5}"/>
            </a:ext>
          </a:extLst>
        </xdr:cNvPr>
        <xdr:cNvCxnSpPr>
          <a:stCxn id="12371" idx="0"/>
          <a:endCxn id="12364" idx="0"/>
        </xdr:cNvCxnSpPr>
      </xdr:nvCxnSpPr>
      <xdr:spPr>
        <a:xfrm>
          <a:off x="13389046" y="5440268"/>
          <a:ext cx="1812833" cy="10971"/>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89389</xdr:colOff>
      <xdr:row>27</xdr:row>
      <xdr:rowOff>144234</xdr:rowOff>
    </xdr:from>
    <xdr:to>
      <xdr:col>25</xdr:col>
      <xdr:colOff>25663</xdr:colOff>
      <xdr:row>27</xdr:row>
      <xdr:rowOff>144404</xdr:rowOff>
    </xdr:to>
    <xdr:cxnSp macro="">
      <xdr:nvCxnSpPr>
        <xdr:cNvPr id="12327" name="Link 108">
          <a:extLst>
            <a:ext uri="{FF2B5EF4-FFF2-40B4-BE49-F238E27FC236}">
              <a16:creationId xmlns:a16="http://schemas.microsoft.com/office/drawing/2014/main" id="{7FBBE6C5-5E0F-43EE-8084-9E4903ADFE0E}"/>
            </a:ext>
          </a:extLst>
        </xdr:cNvPr>
        <xdr:cNvCxnSpPr>
          <a:stCxn id="12370" idx="2"/>
          <a:endCxn id="12363" idx="2"/>
        </xdr:cNvCxnSpPr>
      </xdr:nvCxnSpPr>
      <xdr:spPr>
        <a:xfrm flipV="1">
          <a:off x="13389753" y="5053939"/>
          <a:ext cx="1806637" cy="170"/>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89389</xdr:colOff>
      <xdr:row>25</xdr:row>
      <xdr:rowOff>120383</xdr:rowOff>
    </xdr:from>
    <xdr:to>
      <xdr:col>25</xdr:col>
      <xdr:colOff>25663</xdr:colOff>
      <xdr:row>25</xdr:row>
      <xdr:rowOff>120553</xdr:rowOff>
    </xdr:to>
    <xdr:cxnSp macro="">
      <xdr:nvCxnSpPr>
        <xdr:cNvPr id="12328" name="Link 129">
          <a:extLst>
            <a:ext uri="{FF2B5EF4-FFF2-40B4-BE49-F238E27FC236}">
              <a16:creationId xmlns:a16="http://schemas.microsoft.com/office/drawing/2014/main" id="{15F599E8-7B32-4FD0-9CD9-58C9674606E8}"/>
            </a:ext>
          </a:extLst>
        </xdr:cNvPr>
        <xdr:cNvCxnSpPr>
          <a:stCxn id="12370" idx="0"/>
          <a:endCxn id="12363" idx="0"/>
        </xdr:cNvCxnSpPr>
      </xdr:nvCxnSpPr>
      <xdr:spPr>
        <a:xfrm flipV="1">
          <a:off x="13389753" y="4666407"/>
          <a:ext cx="1806637" cy="170"/>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449376</xdr:colOff>
      <xdr:row>22</xdr:row>
      <xdr:rowOff>78709</xdr:rowOff>
    </xdr:from>
    <xdr:to>
      <xdr:col>24</xdr:col>
      <xdr:colOff>461594</xdr:colOff>
      <xdr:row>26</xdr:row>
      <xdr:rowOff>132309</xdr:rowOff>
    </xdr:to>
    <xdr:cxnSp macro="">
      <xdr:nvCxnSpPr>
        <xdr:cNvPr id="12329" name="Link 116">
          <a:extLst>
            <a:ext uri="{FF2B5EF4-FFF2-40B4-BE49-F238E27FC236}">
              <a16:creationId xmlns:a16="http://schemas.microsoft.com/office/drawing/2014/main" id="{6408C70E-8515-4C15-87D7-EDED0F5E1AFC}"/>
            </a:ext>
          </a:extLst>
        </xdr:cNvPr>
        <xdr:cNvCxnSpPr>
          <a:stCxn id="12368" idx="1"/>
          <a:endCxn id="12363" idx="1"/>
        </xdr:cNvCxnSpPr>
      </xdr:nvCxnSpPr>
      <xdr:spPr>
        <a:xfrm flipH="1">
          <a:off x="14996649" y="4079209"/>
          <a:ext cx="12218" cy="780964"/>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221399</xdr:colOff>
      <xdr:row>22</xdr:row>
      <xdr:rowOff>78709</xdr:rowOff>
    </xdr:from>
    <xdr:to>
      <xdr:col>25</xdr:col>
      <xdr:colOff>233617</xdr:colOff>
      <xdr:row>26</xdr:row>
      <xdr:rowOff>132309</xdr:rowOff>
    </xdr:to>
    <xdr:cxnSp macro="">
      <xdr:nvCxnSpPr>
        <xdr:cNvPr id="12330" name="Link 130">
          <a:extLst>
            <a:ext uri="{FF2B5EF4-FFF2-40B4-BE49-F238E27FC236}">
              <a16:creationId xmlns:a16="http://schemas.microsoft.com/office/drawing/2014/main" id="{5F28E049-DA3D-4610-9C60-265F162487A3}"/>
            </a:ext>
          </a:extLst>
        </xdr:cNvPr>
        <xdr:cNvCxnSpPr>
          <a:stCxn id="12368" idx="3"/>
          <a:endCxn id="12363" idx="3"/>
        </xdr:cNvCxnSpPr>
      </xdr:nvCxnSpPr>
      <xdr:spPr>
        <a:xfrm flipH="1">
          <a:off x="15392126" y="4079209"/>
          <a:ext cx="12218" cy="780964"/>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16809</xdr:colOff>
      <xdr:row>44</xdr:row>
      <xdr:rowOff>10942</xdr:rowOff>
    </xdr:from>
    <xdr:to>
      <xdr:col>26</xdr:col>
      <xdr:colOff>535739</xdr:colOff>
      <xdr:row>44</xdr:row>
      <xdr:rowOff>15311</xdr:rowOff>
    </xdr:to>
    <xdr:cxnSp macro="">
      <xdr:nvCxnSpPr>
        <xdr:cNvPr id="12331" name="Link 96">
          <a:extLst>
            <a:ext uri="{FF2B5EF4-FFF2-40B4-BE49-F238E27FC236}">
              <a16:creationId xmlns:a16="http://schemas.microsoft.com/office/drawing/2014/main" id="{DE425004-8D4F-4131-9CE3-62246625F5F4}"/>
            </a:ext>
          </a:extLst>
        </xdr:cNvPr>
        <xdr:cNvCxnSpPr>
          <a:stCxn id="12373" idx="2"/>
          <a:endCxn id="12374" idx="2"/>
        </xdr:cNvCxnSpPr>
      </xdr:nvCxnSpPr>
      <xdr:spPr>
        <a:xfrm>
          <a:off x="15187536" y="8011942"/>
          <a:ext cx="1142385" cy="4369"/>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16809</xdr:colOff>
      <xdr:row>41</xdr:row>
      <xdr:rowOff>168933</xdr:rowOff>
    </xdr:from>
    <xdr:to>
      <xdr:col>26</xdr:col>
      <xdr:colOff>535739</xdr:colOff>
      <xdr:row>41</xdr:row>
      <xdr:rowOff>173302</xdr:rowOff>
    </xdr:to>
    <xdr:cxnSp macro="">
      <xdr:nvCxnSpPr>
        <xdr:cNvPr id="12332" name="Link 93">
          <a:extLst>
            <a:ext uri="{FF2B5EF4-FFF2-40B4-BE49-F238E27FC236}">
              <a16:creationId xmlns:a16="http://schemas.microsoft.com/office/drawing/2014/main" id="{80E2CB7C-5C36-4463-A795-0F12681DE6A8}"/>
            </a:ext>
          </a:extLst>
        </xdr:cNvPr>
        <xdr:cNvCxnSpPr>
          <a:stCxn id="12373" idx="0"/>
          <a:endCxn id="12374" idx="0"/>
        </xdr:cNvCxnSpPr>
      </xdr:nvCxnSpPr>
      <xdr:spPr>
        <a:xfrm>
          <a:off x="15187536" y="7624411"/>
          <a:ext cx="1142385" cy="4369"/>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31153</xdr:colOff>
      <xdr:row>32</xdr:row>
      <xdr:rowOff>19861</xdr:rowOff>
    </xdr:from>
    <xdr:to>
      <xdr:col>26</xdr:col>
      <xdr:colOff>543530</xdr:colOff>
      <xdr:row>32</xdr:row>
      <xdr:rowOff>32205</xdr:rowOff>
    </xdr:to>
    <xdr:cxnSp macro="">
      <xdr:nvCxnSpPr>
        <xdr:cNvPr id="12333" name="Link 127">
          <a:extLst>
            <a:ext uri="{FF2B5EF4-FFF2-40B4-BE49-F238E27FC236}">
              <a16:creationId xmlns:a16="http://schemas.microsoft.com/office/drawing/2014/main" id="{5BDE8EAD-FBC5-4F80-89D3-1E31608D9135}"/>
            </a:ext>
          </a:extLst>
        </xdr:cNvPr>
        <xdr:cNvCxnSpPr>
          <a:stCxn id="12364" idx="2"/>
          <a:endCxn id="12365" idx="2"/>
        </xdr:cNvCxnSpPr>
      </xdr:nvCxnSpPr>
      <xdr:spPr>
        <a:xfrm>
          <a:off x="15201880" y="5838770"/>
          <a:ext cx="1135832" cy="12344"/>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31153</xdr:colOff>
      <xdr:row>29</xdr:row>
      <xdr:rowOff>177851</xdr:rowOff>
    </xdr:from>
    <xdr:to>
      <xdr:col>26</xdr:col>
      <xdr:colOff>543530</xdr:colOff>
      <xdr:row>30</xdr:row>
      <xdr:rowOff>8355</xdr:rowOff>
    </xdr:to>
    <xdr:cxnSp macro="">
      <xdr:nvCxnSpPr>
        <xdr:cNvPr id="12334" name="Link 125">
          <a:extLst>
            <a:ext uri="{FF2B5EF4-FFF2-40B4-BE49-F238E27FC236}">
              <a16:creationId xmlns:a16="http://schemas.microsoft.com/office/drawing/2014/main" id="{B63BD085-378D-48F8-9634-D783FC8D1733}"/>
            </a:ext>
          </a:extLst>
        </xdr:cNvPr>
        <xdr:cNvCxnSpPr>
          <a:stCxn id="12364" idx="0"/>
          <a:endCxn id="12365" idx="0"/>
        </xdr:cNvCxnSpPr>
      </xdr:nvCxnSpPr>
      <xdr:spPr>
        <a:xfrm>
          <a:off x="15201880" y="5451238"/>
          <a:ext cx="1135832" cy="12344"/>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221399</xdr:colOff>
      <xdr:row>26</xdr:row>
      <xdr:rowOff>132310</xdr:rowOff>
    </xdr:from>
    <xdr:to>
      <xdr:col>25</xdr:col>
      <xdr:colOff>226890</xdr:colOff>
      <xdr:row>31</xdr:row>
      <xdr:rowOff>7935</xdr:rowOff>
    </xdr:to>
    <xdr:cxnSp macro="">
      <xdr:nvCxnSpPr>
        <xdr:cNvPr id="12335" name="Link 128">
          <a:extLst>
            <a:ext uri="{FF2B5EF4-FFF2-40B4-BE49-F238E27FC236}">
              <a16:creationId xmlns:a16="http://schemas.microsoft.com/office/drawing/2014/main" id="{A5079880-EB95-42D4-AFAD-74F6AE284028}"/>
            </a:ext>
          </a:extLst>
        </xdr:cNvPr>
        <xdr:cNvCxnSpPr>
          <a:stCxn id="12363" idx="3"/>
          <a:endCxn id="12364" idx="3"/>
        </xdr:cNvCxnSpPr>
      </xdr:nvCxnSpPr>
      <xdr:spPr>
        <a:xfrm>
          <a:off x="15392126" y="4860174"/>
          <a:ext cx="5491" cy="784830"/>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449376</xdr:colOff>
      <xdr:row>26</xdr:row>
      <xdr:rowOff>132310</xdr:rowOff>
    </xdr:from>
    <xdr:to>
      <xdr:col>24</xdr:col>
      <xdr:colOff>454867</xdr:colOff>
      <xdr:row>31</xdr:row>
      <xdr:rowOff>7935</xdr:rowOff>
    </xdr:to>
    <xdr:cxnSp macro="">
      <xdr:nvCxnSpPr>
        <xdr:cNvPr id="12336" name="Link 132">
          <a:extLst>
            <a:ext uri="{FF2B5EF4-FFF2-40B4-BE49-F238E27FC236}">
              <a16:creationId xmlns:a16="http://schemas.microsoft.com/office/drawing/2014/main" id="{AEAB2419-12A6-48A4-B161-5F83B4DC1D9D}"/>
            </a:ext>
          </a:extLst>
        </xdr:cNvPr>
        <xdr:cNvCxnSpPr>
          <a:stCxn id="12363" idx="1"/>
          <a:endCxn id="12364" idx="1"/>
        </xdr:cNvCxnSpPr>
      </xdr:nvCxnSpPr>
      <xdr:spPr>
        <a:xfrm>
          <a:off x="14996649" y="4860174"/>
          <a:ext cx="5491" cy="784830"/>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25662</xdr:colOff>
      <xdr:row>27</xdr:row>
      <xdr:rowOff>140289</xdr:rowOff>
    </xdr:from>
    <xdr:to>
      <xdr:col>26</xdr:col>
      <xdr:colOff>543352</xdr:colOff>
      <xdr:row>27</xdr:row>
      <xdr:rowOff>144235</xdr:rowOff>
    </xdr:to>
    <xdr:cxnSp macro="">
      <xdr:nvCxnSpPr>
        <xdr:cNvPr id="12337" name="Link 131">
          <a:extLst>
            <a:ext uri="{FF2B5EF4-FFF2-40B4-BE49-F238E27FC236}">
              <a16:creationId xmlns:a16="http://schemas.microsoft.com/office/drawing/2014/main" id="{D2BD2944-7DAC-41F1-BAC5-F4C6F7234C23}"/>
            </a:ext>
          </a:extLst>
        </xdr:cNvPr>
        <xdr:cNvCxnSpPr>
          <a:stCxn id="12363" idx="2"/>
          <a:endCxn id="12366" idx="2"/>
        </xdr:cNvCxnSpPr>
      </xdr:nvCxnSpPr>
      <xdr:spPr>
        <a:xfrm flipV="1">
          <a:off x="15196389" y="5049994"/>
          <a:ext cx="1141145" cy="3946"/>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25662</xdr:colOff>
      <xdr:row>25</xdr:row>
      <xdr:rowOff>116438</xdr:rowOff>
    </xdr:from>
    <xdr:to>
      <xdr:col>26</xdr:col>
      <xdr:colOff>543352</xdr:colOff>
      <xdr:row>25</xdr:row>
      <xdr:rowOff>120384</xdr:rowOff>
    </xdr:to>
    <xdr:cxnSp macro="">
      <xdr:nvCxnSpPr>
        <xdr:cNvPr id="12338" name="Link 122">
          <a:extLst>
            <a:ext uri="{FF2B5EF4-FFF2-40B4-BE49-F238E27FC236}">
              <a16:creationId xmlns:a16="http://schemas.microsoft.com/office/drawing/2014/main" id="{290B4A00-1362-4E68-9E10-AE2FBCF51B91}"/>
            </a:ext>
          </a:extLst>
        </xdr:cNvPr>
        <xdr:cNvCxnSpPr>
          <a:stCxn id="12363" idx="0"/>
          <a:endCxn id="12366" idx="0"/>
        </xdr:cNvCxnSpPr>
      </xdr:nvCxnSpPr>
      <xdr:spPr>
        <a:xfrm flipV="1">
          <a:off x="15196389" y="4662462"/>
          <a:ext cx="1141145" cy="3946"/>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535740</xdr:colOff>
      <xdr:row>36</xdr:row>
      <xdr:rowOff>72100</xdr:rowOff>
    </xdr:from>
    <xdr:to>
      <xdr:col>32</xdr:col>
      <xdr:colOff>64371</xdr:colOff>
      <xdr:row>44</xdr:row>
      <xdr:rowOff>15311</xdr:rowOff>
    </xdr:to>
    <xdr:cxnSp macro="">
      <xdr:nvCxnSpPr>
        <xdr:cNvPr id="12339" name="Link 92">
          <a:extLst>
            <a:ext uri="{FF2B5EF4-FFF2-40B4-BE49-F238E27FC236}">
              <a16:creationId xmlns:a16="http://schemas.microsoft.com/office/drawing/2014/main" id="{B706AE22-DECA-4B0C-8BBB-D3C8862D6221}"/>
            </a:ext>
          </a:extLst>
        </xdr:cNvPr>
        <xdr:cNvCxnSpPr>
          <a:stCxn id="12374" idx="2"/>
          <a:endCxn id="12375" idx="2"/>
        </xdr:cNvCxnSpPr>
      </xdr:nvCxnSpPr>
      <xdr:spPr>
        <a:xfrm flipV="1">
          <a:off x="16329922" y="6618373"/>
          <a:ext cx="3269358" cy="1397938"/>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535740</xdr:colOff>
      <xdr:row>34</xdr:row>
      <xdr:rowOff>48251</xdr:rowOff>
    </xdr:from>
    <xdr:to>
      <xdr:col>32</xdr:col>
      <xdr:colOff>64371</xdr:colOff>
      <xdr:row>41</xdr:row>
      <xdr:rowOff>173302</xdr:rowOff>
    </xdr:to>
    <xdr:cxnSp macro="">
      <xdr:nvCxnSpPr>
        <xdr:cNvPr id="12340" name="Link 90">
          <a:extLst>
            <a:ext uri="{FF2B5EF4-FFF2-40B4-BE49-F238E27FC236}">
              <a16:creationId xmlns:a16="http://schemas.microsoft.com/office/drawing/2014/main" id="{88B25028-B489-4AFB-94B3-0FA7C461AE06}"/>
            </a:ext>
          </a:extLst>
        </xdr:cNvPr>
        <xdr:cNvCxnSpPr>
          <a:stCxn id="12374" idx="0"/>
          <a:endCxn id="12375" idx="0"/>
        </xdr:cNvCxnSpPr>
      </xdr:nvCxnSpPr>
      <xdr:spPr>
        <a:xfrm flipV="1">
          <a:off x="16329922" y="6230842"/>
          <a:ext cx="3269358" cy="1397938"/>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514166</xdr:colOff>
      <xdr:row>6</xdr:row>
      <xdr:rowOff>98316</xdr:rowOff>
    </xdr:from>
    <xdr:to>
      <xdr:col>28</xdr:col>
      <xdr:colOff>521425</xdr:colOff>
      <xdr:row>17</xdr:row>
      <xdr:rowOff>123882</xdr:rowOff>
    </xdr:to>
    <xdr:cxnSp macro="">
      <xdr:nvCxnSpPr>
        <xdr:cNvPr id="12341" name="Link 78">
          <a:extLst>
            <a:ext uri="{FF2B5EF4-FFF2-40B4-BE49-F238E27FC236}">
              <a16:creationId xmlns:a16="http://schemas.microsoft.com/office/drawing/2014/main" id="{34F16EE9-F2BF-41FF-BEEB-B9985A0A8A91}"/>
            </a:ext>
          </a:extLst>
        </xdr:cNvPr>
        <xdr:cNvCxnSpPr>
          <a:stCxn id="12394" idx="3"/>
          <a:endCxn id="12378" idx="3"/>
        </xdr:cNvCxnSpPr>
      </xdr:nvCxnSpPr>
      <xdr:spPr>
        <a:xfrm flipH="1">
          <a:off x="17555257" y="1189361"/>
          <a:ext cx="7259" cy="2025817"/>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113538</xdr:colOff>
      <xdr:row>6</xdr:row>
      <xdr:rowOff>98316</xdr:rowOff>
    </xdr:from>
    <xdr:to>
      <xdr:col>28</xdr:col>
      <xdr:colOff>120797</xdr:colOff>
      <xdr:row>17</xdr:row>
      <xdr:rowOff>123882</xdr:rowOff>
    </xdr:to>
    <xdr:cxnSp macro="">
      <xdr:nvCxnSpPr>
        <xdr:cNvPr id="12342" name="Link 24">
          <a:extLst>
            <a:ext uri="{FF2B5EF4-FFF2-40B4-BE49-F238E27FC236}">
              <a16:creationId xmlns:a16="http://schemas.microsoft.com/office/drawing/2014/main" id="{4337BB0D-2F17-44F5-ABD2-A00A0DD35777}"/>
            </a:ext>
          </a:extLst>
        </xdr:cNvPr>
        <xdr:cNvCxnSpPr>
          <a:stCxn id="12394" idx="1"/>
          <a:endCxn id="12378" idx="1"/>
        </xdr:cNvCxnSpPr>
      </xdr:nvCxnSpPr>
      <xdr:spPr>
        <a:xfrm flipH="1">
          <a:off x="17154629" y="1189361"/>
          <a:ext cx="7259" cy="2025817"/>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213255</xdr:colOff>
      <xdr:row>47</xdr:row>
      <xdr:rowOff>112446</xdr:rowOff>
    </xdr:from>
    <xdr:to>
      <xdr:col>25</xdr:col>
      <xdr:colOff>220516</xdr:colOff>
      <xdr:row>51</xdr:row>
      <xdr:rowOff>43546</xdr:rowOff>
    </xdr:to>
    <xdr:cxnSp macro="">
      <xdr:nvCxnSpPr>
        <xdr:cNvPr id="12343" name="Link 6">
          <a:extLst>
            <a:ext uri="{FF2B5EF4-FFF2-40B4-BE49-F238E27FC236}">
              <a16:creationId xmlns:a16="http://schemas.microsoft.com/office/drawing/2014/main" id="{40416F7D-0E5A-4F2D-B94C-8D1326206E40}"/>
            </a:ext>
          </a:extLst>
        </xdr:cNvPr>
        <xdr:cNvCxnSpPr>
          <a:stCxn id="12401" idx="3"/>
          <a:endCxn id="12388" idx="3"/>
        </xdr:cNvCxnSpPr>
      </xdr:nvCxnSpPr>
      <xdr:spPr>
        <a:xfrm flipV="1">
          <a:off x="15383982" y="8658970"/>
          <a:ext cx="7261" cy="658463"/>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441233</xdr:colOff>
      <xdr:row>47</xdr:row>
      <xdr:rowOff>112446</xdr:rowOff>
    </xdr:from>
    <xdr:to>
      <xdr:col>24</xdr:col>
      <xdr:colOff>448494</xdr:colOff>
      <xdr:row>51</xdr:row>
      <xdr:rowOff>43546</xdr:rowOff>
    </xdr:to>
    <xdr:cxnSp macro="">
      <xdr:nvCxnSpPr>
        <xdr:cNvPr id="12344" name="Link 43">
          <a:extLst>
            <a:ext uri="{FF2B5EF4-FFF2-40B4-BE49-F238E27FC236}">
              <a16:creationId xmlns:a16="http://schemas.microsoft.com/office/drawing/2014/main" id="{E62E92FD-71D0-4A62-8BF0-F6985FABC5B1}"/>
            </a:ext>
          </a:extLst>
        </xdr:cNvPr>
        <xdr:cNvCxnSpPr>
          <a:stCxn id="12401" idx="1"/>
          <a:endCxn id="12388" idx="1"/>
        </xdr:cNvCxnSpPr>
      </xdr:nvCxnSpPr>
      <xdr:spPr>
        <a:xfrm flipV="1">
          <a:off x="14988506" y="8658970"/>
          <a:ext cx="7261" cy="658463"/>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272337</xdr:colOff>
      <xdr:row>6</xdr:row>
      <xdr:rowOff>84139</xdr:rowOff>
    </xdr:from>
    <xdr:to>
      <xdr:col>19</xdr:col>
      <xdr:colOff>274110</xdr:colOff>
      <xdr:row>17</xdr:row>
      <xdr:rowOff>113736</xdr:rowOff>
    </xdr:to>
    <xdr:cxnSp macro="">
      <xdr:nvCxnSpPr>
        <xdr:cNvPr id="12345" name="Link 64">
          <a:extLst>
            <a:ext uri="{FF2B5EF4-FFF2-40B4-BE49-F238E27FC236}">
              <a16:creationId xmlns:a16="http://schemas.microsoft.com/office/drawing/2014/main" id="{AE30387D-0A76-46BF-A197-E94920C38782}"/>
            </a:ext>
          </a:extLst>
        </xdr:cNvPr>
        <xdr:cNvCxnSpPr>
          <a:stCxn id="12397" idx="3"/>
          <a:endCxn id="12382" idx="3"/>
        </xdr:cNvCxnSpPr>
      </xdr:nvCxnSpPr>
      <xdr:spPr>
        <a:xfrm flipH="1">
          <a:off x="11702337" y="1175184"/>
          <a:ext cx="1773" cy="2029848"/>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496313</xdr:colOff>
      <xdr:row>6</xdr:row>
      <xdr:rowOff>84139</xdr:rowOff>
    </xdr:from>
    <xdr:to>
      <xdr:col>18</xdr:col>
      <xdr:colOff>498086</xdr:colOff>
      <xdr:row>17</xdr:row>
      <xdr:rowOff>113736</xdr:rowOff>
    </xdr:to>
    <xdr:cxnSp macro="">
      <xdr:nvCxnSpPr>
        <xdr:cNvPr id="12346" name="Link 15">
          <a:extLst>
            <a:ext uri="{FF2B5EF4-FFF2-40B4-BE49-F238E27FC236}">
              <a16:creationId xmlns:a16="http://schemas.microsoft.com/office/drawing/2014/main" id="{218E2238-3C44-4D78-99D3-0BDFB09376A9}"/>
            </a:ext>
          </a:extLst>
        </xdr:cNvPr>
        <xdr:cNvCxnSpPr>
          <a:stCxn id="12397" idx="1"/>
          <a:endCxn id="12382" idx="1"/>
        </xdr:cNvCxnSpPr>
      </xdr:nvCxnSpPr>
      <xdr:spPr>
        <a:xfrm flipH="1">
          <a:off x="11302858" y="1175184"/>
          <a:ext cx="1773" cy="2029848"/>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282401</xdr:colOff>
      <xdr:row>6</xdr:row>
      <xdr:rowOff>86146</xdr:rowOff>
    </xdr:from>
    <xdr:to>
      <xdr:col>22</xdr:col>
      <xdr:colOff>292672</xdr:colOff>
      <xdr:row>17</xdr:row>
      <xdr:rowOff>122511</xdr:rowOff>
    </xdr:to>
    <xdr:cxnSp macro="">
      <xdr:nvCxnSpPr>
        <xdr:cNvPr id="12347" name="Link 67">
          <a:extLst>
            <a:ext uri="{FF2B5EF4-FFF2-40B4-BE49-F238E27FC236}">
              <a16:creationId xmlns:a16="http://schemas.microsoft.com/office/drawing/2014/main" id="{A0B302D0-F9D9-4BE3-89F3-EC0D63D4B717}"/>
            </a:ext>
          </a:extLst>
        </xdr:cNvPr>
        <xdr:cNvCxnSpPr>
          <a:stCxn id="12396" idx="3"/>
          <a:endCxn id="12381" idx="3"/>
        </xdr:cNvCxnSpPr>
      </xdr:nvCxnSpPr>
      <xdr:spPr>
        <a:xfrm flipH="1">
          <a:off x="13582765" y="1177191"/>
          <a:ext cx="10271" cy="2036616"/>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510382</xdr:colOff>
      <xdr:row>6</xdr:row>
      <xdr:rowOff>86146</xdr:rowOff>
    </xdr:from>
    <xdr:to>
      <xdr:col>21</xdr:col>
      <xdr:colOff>520653</xdr:colOff>
      <xdr:row>17</xdr:row>
      <xdr:rowOff>122511</xdr:rowOff>
    </xdr:to>
    <xdr:cxnSp macro="">
      <xdr:nvCxnSpPr>
        <xdr:cNvPr id="12348" name="Link 18">
          <a:extLst>
            <a:ext uri="{FF2B5EF4-FFF2-40B4-BE49-F238E27FC236}">
              <a16:creationId xmlns:a16="http://schemas.microsoft.com/office/drawing/2014/main" id="{5203A020-D4FB-4A74-96B2-D3F9D8556353}"/>
            </a:ext>
          </a:extLst>
        </xdr:cNvPr>
        <xdr:cNvCxnSpPr>
          <a:stCxn id="12396" idx="1"/>
          <a:endCxn id="12381" idx="1"/>
        </xdr:cNvCxnSpPr>
      </xdr:nvCxnSpPr>
      <xdr:spPr>
        <a:xfrm flipH="1">
          <a:off x="13187291" y="1177191"/>
          <a:ext cx="10271" cy="2036616"/>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210423</xdr:colOff>
      <xdr:row>6</xdr:row>
      <xdr:rowOff>85630</xdr:rowOff>
    </xdr:from>
    <xdr:to>
      <xdr:col>25</xdr:col>
      <xdr:colOff>227069</xdr:colOff>
      <xdr:row>17</xdr:row>
      <xdr:rowOff>115448</xdr:rowOff>
    </xdr:to>
    <xdr:cxnSp macro="">
      <xdr:nvCxnSpPr>
        <xdr:cNvPr id="12349" name="Link 71">
          <a:extLst>
            <a:ext uri="{FF2B5EF4-FFF2-40B4-BE49-F238E27FC236}">
              <a16:creationId xmlns:a16="http://schemas.microsoft.com/office/drawing/2014/main" id="{9F13A84F-83CD-4644-AC9A-259B060AA34C}"/>
            </a:ext>
          </a:extLst>
        </xdr:cNvPr>
        <xdr:cNvCxnSpPr>
          <a:stCxn id="12395" idx="3"/>
          <a:endCxn id="12380" idx="3"/>
        </xdr:cNvCxnSpPr>
      </xdr:nvCxnSpPr>
      <xdr:spPr>
        <a:xfrm>
          <a:off x="15381150" y="1176675"/>
          <a:ext cx="16646" cy="2030069"/>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438400</xdr:colOff>
      <xdr:row>6</xdr:row>
      <xdr:rowOff>85630</xdr:rowOff>
    </xdr:from>
    <xdr:to>
      <xdr:col>24</xdr:col>
      <xdr:colOff>455046</xdr:colOff>
      <xdr:row>17</xdr:row>
      <xdr:rowOff>115448</xdr:rowOff>
    </xdr:to>
    <xdr:cxnSp macro="">
      <xdr:nvCxnSpPr>
        <xdr:cNvPr id="12350" name="Link 21">
          <a:extLst>
            <a:ext uri="{FF2B5EF4-FFF2-40B4-BE49-F238E27FC236}">
              <a16:creationId xmlns:a16="http://schemas.microsoft.com/office/drawing/2014/main" id="{8942FB89-80E7-48EE-8A3A-4673D92E4515}"/>
            </a:ext>
          </a:extLst>
        </xdr:cNvPr>
        <xdr:cNvCxnSpPr>
          <a:stCxn id="12395" idx="1"/>
          <a:endCxn id="12380" idx="1"/>
        </xdr:cNvCxnSpPr>
      </xdr:nvCxnSpPr>
      <xdr:spPr>
        <a:xfrm>
          <a:off x="14985673" y="1176675"/>
          <a:ext cx="16646" cy="2030069"/>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340601</xdr:colOff>
      <xdr:row>47</xdr:row>
      <xdr:rowOff>103016</xdr:rowOff>
    </xdr:from>
    <xdr:to>
      <xdr:col>26</xdr:col>
      <xdr:colOff>347330</xdr:colOff>
      <xdr:row>51</xdr:row>
      <xdr:rowOff>43843</xdr:rowOff>
    </xdr:to>
    <xdr:cxnSp macro="">
      <xdr:nvCxnSpPr>
        <xdr:cNvPr id="12351" name="Link 39">
          <a:extLst>
            <a:ext uri="{FF2B5EF4-FFF2-40B4-BE49-F238E27FC236}">
              <a16:creationId xmlns:a16="http://schemas.microsoft.com/office/drawing/2014/main" id="{4A94CEC3-5358-421B-8120-BBF54A233623}"/>
            </a:ext>
          </a:extLst>
        </xdr:cNvPr>
        <xdr:cNvCxnSpPr>
          <a:stCxn id="12389" idx="1"/>
          <a:endCxn id="12402" idx="1"/>
        </xdr:cNvCxnSpPr>
      </xdr:nvCxnSpPr>
      <xdr:spPr>
        <a:xfrm>
          <a:off x="16134783" y="8649540"/>
          <a:ext cx="6729" cy="668190"/>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116627</xdr:colOff>
      <xdr:row>47</xdr:row>
      <xdr:rowOff>103016</xdr:rowOff>
    </xdr:from>
    <xdr:to>
      <xdr:col>27</xdr:col>
      <xdr:colOff>123356</xdr:colOff>
      <xdr:row>51</xdr:row>
      <xdr:rowOff>43843</xdr:rowOff>
    </xdr:to>
    <xdr:cxnSp macro="">
      <xdr:nvCxnSpPr>
        <xdr:cNvPr id="12352" name="Link 5">
          <a:extLst>
            <a:ext uri="{FF2B5EF4-FFF2-40B4-BE49-F238E27FC236}">
              <a16:creationId xmlns:a16="http://schemas.microsoft.com/office/drawing/2014/main" id="{B00637D8-BC14-43FB-A7C8-78C83A365952}"/>
            </a:ext>
          </a:extLst>
        </xdr:cNvPr>
        <xdr:cNvCxnSpPr>
          <a:stCxn id="12402" idx="3"/>
          <a:endCxn id="12389" idx="3"/>
        </xdr:cNvCxnSpPr>
      </xdr:nvCxnSpPr>
      <xdr:spPr>
        <a:xfrm flipH="1" flipV="1">
          <a:off x="16534263" y="8649540"/>
          <a:ext cx="6729" cy="668190"/>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56934</xdr:colOff>
      <xdr:row>32</xdr:row>
      <xdr:rowOff>57788</xdr:rowOff>
    </xdr:from>
    <xdr:to>
      <xdr:col>36</xdr:col>
      <xdr:colOff>172751</xdr:colOff>
      <xdr:row>40</xdr:row>
      <xdr:rowOff>29204</xdr:rowOff>
    </xdr:to>
    <xdr:cxnSp macro="">
      <xdr:nvCxnSpPr>
        <xdr:cNvPr id="12353" name="Link 36">
          <a:extLst>
            <a:ext uri="{FF2B5EF4-FFF2-40B4-BE49-F238E27FC236}">
              <a16:creationId xmlns:a16="http://schemas.microsoft.com/office/drawing/2014/main" id="{3F052459-36C3-4B4D-B794-C0BEE75820F4}"/>
            </a:ext>
          </a:extLst>
        </xdr:cNvPr>
        <xdr:cNvCxnSpPr>
          <a:stCxn id="12390" idx="2"/>
          <a:endCxn id="12391" idx="2"/>
        </xdr:cNvCxnSpPr>
      </xdr:nvCxnSpPr>
      <xdr:spPr>
        <a:xfrm flipV="1">
          <a:off x="19591843" y="5876697"/>
          <a:ext cx="2609635" cy="1426143"/>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56934</xdr:colOff>
      <xdr:row>30</xdr:row>
      <xdr:rowOff>33939</xdr:rowOff>
    </xdr:from>
    <xdr:to>
      <xdr:col>36</xdr:col>
      <xdr:colOff>172751</xdr:colOff>
      <xdr:row>38</xdr:row>
      <xdr:rowOff>5353</xdr:rowOff>
    </xdr:to>
    <xdr:cxnSp macro="">
      <xdr:nvCxnSpPr>
        <xdr:cNvPr id="12354" name="Link 34">
          <a:extLst>
            <a:ext uri="{FF2B5EF4-FFF2-40B4-BE49-F238E27FC236}">
              <a16:creationId xmlns:a16="http://schemas.microsoft.com/office/drawing/2014/main" id="{C9CEFFF1-F8E6-4F5A-9F92-4FFF755D8A94}"/>
            </a:ext>
          </a:extLst>
        </xdr:cNvPr>
        <xdr:cNvCxnSpPr>
          <a:stCxn id="12390" idx="0"/>
          <a:endCxn id="12391" idx="0"/>
        </xdr:cNvCxnSpPr>
      </xdr:nvCxnSpPr>
      <xdr:spPr>
        <a:xfrm flipV="1">
          <a:off x="19591843" y="5489166"/>
          <a:ext cx="2609635" cy="1426142"/>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534174</xdr:colOff>
      <xdr:row>31</xdr:row>
      <xdr:rowOff>18907</xdr:rowOff>
    </xdr:from>
    <xdr:to>
      <xdr:col>17</xdr:col>
      <xdr:colOff>553119</xdr:colOff>
      <xdr:row>47</xdr:row>
      <xdr:rowOff>120501</xdr:rowOff>
    </xdr:to>
    <xdr:cxnSp macro="">
      <xdr:nvCxnSpPr>
        <xdr:cNvPr id="12355" name="Link 48">
          <a:extLst>
            <a:ext uri="{FF2B5EF4-FFF2-40B4-BE49-F238E27FC236}">
              <a16:creationId xmlns:a16="http://schemas.microsoft.com/office/drawing/2014/main" id="{2199A57F-B82A-4194-9FD7-94DD86ED121A}"/>
            </a:ext>
          </a:extLst>
        </xdr:cNvPr>
        <xdr:cNvCxnSpPr>
          <a:stCxn id="12387" idx="3"/>
          <a:endCxn id="12386" idx="3"/>
        </xdr:cNvCxnSpPr>
      </xdr:nvCxnSpPr>
      <xdr:spPr>
        <a:xfrm flipH="1" flipV="1">
          <a:off x="10717265" y="5655976"/>
          <a:ext cx="18945" cy="3011049"/>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133546</xdr:colOff>
      <xdr:row>31</xdr:row>
      <xdr:rowOff>18907</xdr:rowOff>
    </xdr:from>
    <xdr:to>
      <xdr:col>17</xdr:col>
      <xdr:colOff>152491</xdr:colOff>
      <xdr:row>47</xdr:row>
      <xdr:rowOff>120501</xdr:rowOff>
    </xdr:to>
    <xdr:cxnSp macro="">
      <xdr:nvCxnSpPr>
        <xdr:cNvPr id="12356" name="Link 51">
          <a:extLst>
            <a:ext uri="{FF2B5EF4-FFF2-40B4-BE49-F238E27FC236}">
              <a16:creationId xmlns:a16="http://schemas.microsoft.com/office/drawing/2014/main" id="{9A3F8D0F-4706-42E7-8058-A38BA4F73637}"/>
            </a:ext>
          </a:extLst>
        </xdr:cNvPr>
        <xdr:cNvCxnSpPr>
          <a:stCxn id="12387" idx="1"/>
          <a:endCxn id="12386" idx="1"/>
        </xdr:cNvCxnSpPr>
      </xdr:nvCxnSpPr>
      <xdr:spPr>
        <a:xfrm flipH="1" flipV="1">
          <a:off x="10316637" y="5655976"/>
          <a:ext cx="18945" cy="3011049"/>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49329</xdr:colOff>
      <xdr:row>5</xdr:row>
      <xdr:rowOff>82449</xdr:rowOff>
    </xdr:from>
    <xdr:to>
      <xdr:col>36</xdr:col>
      <xdr:colOff>320770</xdr:colOff>
      <xdr:row>17</xdr:row>
      <xdr:rowOff>158254</xdr:rowOff>
    </xdr:to>
    <xdr:cxnSp macro="">
      <xdr:nvCxnSpPr>
        <xdr:cNvPr id="12357" name="Link 29">
          <a:extLst>
            <a:ext uri="{FF2B5EF4-FFF2-40B4-BE49-F238E27FC236}">
              <a16:creationId xmlns:a16="http://schemas.microsoft.com/office/drawing/2014/main" id="{3D2C10DF-B511-42CA-811D-28D5581F9B68}"/>
            </a:ext>
          </a:extLst>
        </xdr:cNvPr>
        <xdr:cNvCxnSpPr>
          <a:stCxn id="12393" idx="0"/>
          <a:endCxn id="12392" idx="3"/>
        </xdr:cNvCxnSpPr>
      </xdr:nvCxnSpPr>
      <xdr:spPr>
        <a:xfrm>
          <a:off x="19584238" y="991654"/>
          <a:ext cx="2765259" cy="2257896"/>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475044</xdr:colOff>
      <xdr:row>6</xdr:row>
      <xdr:rowOff>94374</xdr:rowOff>
    </xdr:from>
    <xdr:to>
      <xdr:col>35</xdr:col>
      <xdr:colOff>548749</xdr:colOff>
      <xdr:row>17</xdr:row>
      <xdr:rowOff>158254</xdr:rowOff>
    </xdr:to>
    <xdr:cxnSp macro="">
      <xdr:nvCxnSpPr>
        <xdr:cNvPr id="12358" name="Link 27">
          <a:extLst>
            <a:ext uri="{FF2B5EF4-FFF2-40B4-BE49-F238E27FC236}">
              <a16:creationId xmlns:a16="http://schemas.microsoft.com/office/drawing/2014/main" id="{197C9045-78F1-45B5-B242-441FAD6B97B0}"/>
            </a:ext>
          </a:extLst>
        </xdr:cNvPr>
        <xdr:cNvCxnSpPr>
          <a:stCxn id="12393" idx="1"/>
          <a:endCxn id="12392" idx="1"/>
        </xdr:cNvCxnSpPr>
      </xdr:nvCxnSpPr>
      <xdr:spPr>
        <a:xfrm>
          <a:off x="19386499" y="1185419"/>
          <a:ext cx="2567523" cy="2064131"/>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320770</xdr:colOff>
      <xdr:row>17</xdr:row>
      <xdr:rowOff>158252</xdr:rowOff>
    </xdr:from>
    <xdr:to>
      <xdr:col>36</xdr:col>
      <xdr:colOff>373642</xdr:colOff>
      <xdr:row>31</xdr:row>
      <xdr:rowOff>45862</xdr:rowOff>
    </xdr:to>
    <xdr:cxnSp macro="">
      <xdr:nvCxnSpPr>
        <xdr:cNvPr id="12359" name="Link 33">
          <a:extLst>
            <a:ext uri="{FF2B5EF4-FFF2-40B4-BE49-F238E27FC236}">
              <a16:creationId xmlns:a16="http://schemas.microsoft.com/office/drawing/2014/main" id="{C8B7DD7B-7ECC-414E-B04A-EF59CEFAC8C2}"/>
            </a:ext>
          </a:extLst>
        </xdr:cNvPr>
        <xdr:cNvCxnSpPr>
          <a:stCxn id="12392" idx="3"/>
          <a:endCxn id="12391" idx="3"/>
        </xdr:cNvCxnSpPr>
      </xdr:nvCxnSpPr>
      <xdr:spPr>
        <a:xfrm>
          <a:off x="22349497" y="3249548"/>
          <a:ext cx="52872" cy="2433383"/>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548749</xdr:colOff>
      <xdr:row>17</xdr:row>
      <xdr:rowOff>158252</xdr:rowOff>
    </xdr:from>
    <xdr:to>
      <xdr:col>35</xdr:col>
      <xdr:colOff>596467</xdr:colOff>
      <xdr:row>31</xdr:row>
      <xdr:rowOff>45862</xdr:rowOff>
    </xdr:to>
    <xdr:cxnSp macro="">
      <xdr:nvCxnSpPr>
        <xdr:cNvPr id="12360" name="Link 30">
          <a:extLst>
            <a:ext uri="{FF2B5EF4-FFF2-40B4-BE49-F238E27FC236}">
              <a16:creationId xmlns:a16="http://schemas.microsoft.com/office/drawing/2014/main" id="{9F4ADA6B-385C-44FA-8350-9AD01F8971EE}"/>
            </a:ext>
          </a:extLst>
        </xdr:cNvPr>
        <xdr:cNvCxnSpPr>
          <a:stCxn id="12392" idx="1"/>
          <a:endCxn id="12391" idx="1"/>
        </xdr:cNvCxnSpPr>
      </xdr:nvCxnSpPr>
      <xdr:spPr>
        <a:xfrm>
          <a:off x="21954022" y="3249548"/>
          <a:ext cx="47718" cy="2433383"/>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50691</xdr:colOff>
      <xdr:row>16</xdr:row>
      <xdr:rowOff>108870</xdr:rowOff>
    </xdr:from>
    <xdr:to>
      <xdr:col>36</xdr:col>
      <xdr:colOff>125034</xdr:colOff>
      <xdr:row>16</xdr:row>
      <xdr:rowOff>146329</xdr:rowOff>
    </xdr:to>
    <xdr:cxnSp macro="">
      <xdr:nvCxnSpPr>
        <xdr:cNvPr id="12361" name="Link 31">
          <a:extLst>
            <a:ext uri="{FF2B5EF4-FFF2-40B4-BE49-F238E27FC236}">
              <a16:creationId xmlns:a16="http://schemas.microsoft.com/office/drawing/2014/main" id="{EF507138-2B87-4A33-824F-7A5EE68E5A99}"/>
            </a:ext>
          </a:extLst>
        </xdr:cNvPr>
        <xdr:cNvCxnSpPr>
          <a:stCxn id="12377" idx="0"/>
          <a:endCxn id="12392" idx="0"/>
        </xdr:cNvCxnSpPr>
      </xdr:nvCxnSpPr>
      <xdr:spPr>
        <a:xfrm>
          <a:off x="19585600" y="3018325"/>
          <a:ext cx="2568161" cy="37459"/>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50691</xdr:colOff>
      <xdr:row>18</xdr:row>
      <xdr:rowOff>132719</xdr:rowOff>
    </xdr:from>
    <xdr:to>
      <xdr:col>36</xdr:col>
      <xdr:colOff>125034</xdr:colOff>
      <xdr:row>18</xdr:row>
      <xdr:rowOff>170178</xdr:rowOff>
    </xdr:to>
    <xdr:cxnSp macro="">
      <xdr:nvCxnSpPr>
        <xdr:cNvPr id="12362" name="Link 82">
          <a:extLst>
            <a:ext uri="{FF2B5EF4-FFF2-40B4-BE49-F238E27FC236}">
              <a16:creationId xmlns:a16="http://schemas.microsoft.com/office/drawing/2014/main" id="{857DE7E8-53D5-4518-AE21-024136265F40}"/>
            </a:ext>
          </a:extLst>
        </xdr:cNvPr>
        <xdr:cNvCxnSpPr>
          <a:stCxn id="12377" idx="2"/>
          <a:endCxn id="12392" idx="2"/>
        </xdr:cNvCxnSpPr>
      </xdr:nvCxnSpPr>
      <xdr:spPr>
        <a:xfrm>
          <a:off x="19585600" y="3405855"/>
          <a:ext cx="2568161" cy="37459"/>
        </a:xfrm>
        <a:prstGeom prst="line">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449376</xdr:colOff>
      <xdr:row>25</xdr:row>
      <xdr:rowOff>120383</xdr:rowOff>
    </xdr:from>
    <xdr:to>
      <xdr:col>25</xdr:col>
      <xdr:colOff>221399</xdr:colOff>
      <xdr:row>27</xdr:row>
      <xdr:rowOff>144234</xdr:rowOff>
    </xdr:to>
    <xdr:sp macro="" textlink="">
      <xdr:nvSpPr>
        <xdr:cNvPr id="12363" name="Node 44">
          <a:extLst>
            <a:ext uri="{FF2B5EF4-FFF2-40B4-BE49-F238E27FC236}">
              <a16:creationId xmlns:a16="http://schemas.microsoft.com/office/drawing/2014/main" id="{DE80DD6D-6D0F-4000-BB82-3D41CAD51D1A}"/>
            </a:ext>
          </a:extLst>
        </xdr:cNvPr>
        <xdr:cNvSpPr/>
      </xdr:nvSpPr>
      <xdr:spPr>
        <a:xfrm>
          <a:off x="14996649" y="4666407"/>
          <a:ext cx="395477" cy="387532"/>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44</a:t>
          </a:r>
        </a:p>
      </xdr:txBody>
    </xdr:sp>
    <xdr:clientData/>
  </xdr:twoCellAnchor>
  <xdr:twoCellAnchor>
    <xdr:from>
      <xdr:col>24</xdr:col>
      <xdr:colOff>454867</xdr:colOff>
      <xdr:row>29</xdr:row>
      <xdr:rowOff>177851</xdr:rowOff>
    </xdr:from>
    <xdr:to>
      <xdr:col>25</xdr:col>
      <xdr:colOff>226890</xdr:colOff>
      <xdr:row>32</xdr:row>
      <xdr:rowOff>19860</xdr:rowOff>
    </xdr:to>
    <xdr:sp macro="" textlink="">
      <xdr:nvSpPr>
        <xdr:cNvPr id="12364" name="Node 43">
          <a:extLst>
            <a:ext uri="{FF2B5EF4-FFF2-40B4-BE49-F238E27FC236}">
              <a16:creationId xmlns:a16="http://schemas.microsoft.com/office/drawing/2014/main" id="{FFFE0DEB-4C2B-433F-8258-F479AA8916D0}"/>
            </a:ext>
          </a:extLst>
        </xdr:cNvPr>
        <xdr:cNvSpPr/>
      </xdr:nvSpPr>
      <xdr:spPr>
        <a:xfrm>
          <a:off x="15002140" y="5451238"/>
          <a:ext cx="395477" cy="387531"/>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43</a:t>
          </a:r>
        </a:p>
      </xdr:txBody>
    </xdr:sp>
    <xdr:clientData/>
  </xdr:twoCellAnchor>
  <xdr:twoCellAnchor>
    <xdr:from>
      <xdr:col>26</xdr:col>
      <xdr:colOff>343790</xdr:colOff>
      <xdr:row>30</xdr:row>
      <xdr:rowOff>8355</xdr:rowOff>
    </xdr:from>
    <xdr:to>
      <xdr:col>27</xdr:col>
      <xdr:colOff>119815</xdr:colOff>
      <xdr:row>32</xdr:row>
      <xdr:rowOff>32204</xdr:rowOff>
    </xdr:to>
    <xdr:sp macro="" textlink="">
      <xdr:nvSpPr>
        <xdr:cNvPr id="12365" name="Node 42">
          <a:extLst>
            <a:ext uri="{FF2B5EF4-FFF2-40B4-BE49-F238E27FC236}">
              <a16:creationId xmlns:a16="http://schemas.microsoft.com/office/drawing/2014/main" id="{C67122B0-15B6-4CD4-90C7-94954B2B5B2D}"/>
            </a:ext>
          </a:extLst>
        </xdr:cNvPr>
        <xdr:cNvSpPr/>
      </xdr:nvSpPr>
      <xdr:spPr>
        <a:xfrm>
          <a:off x="16137972" y="5463582"/>
          <a:ext cx="399479" cy="387531"/>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42</a:t>
          </a:r>
        </a:p>
      </xdr:txBody>
    </xdr:sp>
    <xdr:clientData/>
  </xdr:twoCellAnchor>
  <xdr:twoCellAnchor>
    <xdr:from>
      <xdr:col>26</xdr:col>
      <xdr:colOff>343613</xdr:colOff>
      <xdr:row>25</xdr:row>
      <xdr:rowOff>116438</xdr:rowOff>
    </xdr:from>
    <xdr:to>
      <xdr:col>27</xdr:col>
      <xdr:colOff>119638</xdr:colOff>
      <xdr:row>27</xdr:row>
      <xdr:rowOff>140289</xdr:rowOff>
    </xdr:to>
    <xdr:sp macro="" textlink="">
      <xdr:nvSpPr>
        <xdr:cNvPr id="12366" name="Node 41">
          <a:extLst>
            <a:ext uri="{FF2B5EF4-FFF2-40B4-BE49-F238E27FC236}">
              <a16:creationId xmlns:a16="http://schemas.microsoft.com/office/drawing/2014/main" id="{FBEDF752-2F03-48CF-B6B0-2535630F843B}"/>
            </a:ext>
          </a:extLst>
        </xdr:cNvPr>
        <xdr:cNvSpPr/>
      </xdr:nvSpPr>
      <xdr:spPr>
        <a:xfrm>
          <a:off x="16137795" y="4662462"/>
          <a:ext cx="399479" cy="387532"/>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41</a:t>
          </a:r>
        </a:p>
      </xdr:txBody>
    </xdr:sp>
    <xdr:clientData/>
  </xdr:twoCellAnchor>
  <xdr:twoCellAnchor>
    <xdr:from>
      <xdr:col>26</xdr:col>
      <xdr:colOff>339894</xdr:colOff>
      <xdr:row>21</xdr:row>
      <xdr:rowOff>57698</xdr:rowOff>
    </xdr:from>
    <xdr:to>
      <xdr:col>27</xdr:col>
      <xdr:colOff>115919</xdr:colOff>
      <xdr:row>23</xdr:row>
      <xdr:rowOff>81546</xdr:rowOff>
    </xdr:to>
    <xdr:sp macro="" textlink="">
      <xdr:nvSpPr>
        <xdr:cNvPr id="12367" name="Node 40">
          <a:extLst>
            <a:ext uri="{FF2B5EF4-FFF2-40B4-BE49-F238E27FC236}">
              <a16:creationId xmlns:a16="http://schemas.microsoft.com/office/drawing/2014/main" id="{3B1E4B7E-7AFF-488D-8B09-E43C2FF87E4C}"/>
            </a:ext>
          </a:extLst>
        </xdr:cNvPr>
        <xdr:cNvSpPr/>
      </xdr:nvSpPr>
      <xdr:spPr>
        <a:xfrm>
          <a:off x="16134076" y="3876358"/>
          <a:ext cx="399479" cy="387530"/>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40</a:t>
          </a:r>
        </a:p>
      </xdr:txBody>
    </xdr:sp>
    <xdr:clientData/>
  </xdr:twoCellAnchor>
  <xdr:twoCellAnchor>
    <xdr:from>
      <xdr:col>24</xdr:col>
      <xdr:colOff>461594</xdr:colOff>
      <xdr:row>21</xdr:row>
      <xdr:rowOff>66784</xdr:rowOff>
    </xdr:from>
    <xdr:to>
      <xdr:col>25</xdr:col>
      <xdr:colOff>233617</xdr:colOff>
      <xdr:row>23</xdr:row>
      <xdr:rowOff>90632</xdr:rowOff>
    </xdr:to>
    <xdr:sp macro="" textlink="">
      <xdr:nvSpPr>
        <xdr:cNvPr id="12368" name="Node 39">
          <a:extLst>
            <a:ext uri="{FF2B5EF4-FFF2-40B4-BE49-F238E27FC236}">
              <a16:creationId xmlns:a16="http://schemas.microsoft.com/office/drawing/2014/main" id="{14D660CC-4B5C-4869-A941-5E65CBF75E17}"/>
            </a:ext>
          </a:extLst>
        </xdr:cNvPr>
        <xdr:cNvSpPr/>
      </xdr:nvSpPr>
      <xdr:spPr>
        <a:xfrm>
          <a:off x="15008867" y="3885444"/>
          <a:ext cx="395477" cy="387530"/>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39</a:t>
          </a:r>
        </a:p>
      </xdr:txBody>
    </xdr:sp>
    <xdr:clientData/>
  </xdr:twoCellAnchor>
  <xdr:twoCellAnchor>
    <xdr:from>
      <xdr:col>21</xdr:col>
      <xdr:colOff>510736</xdr:colOff>
      <xdr:row>21</xdr:row>
      <xdr:rowOff>69524</xdr:rowOff>
    </xdr:from>
    <xdr:to>
      <xdr:col>22</xdr:col>
      <xdr:colOff>282755</xdr:colOff>
      <xdr:row>23</xdr:row>
      <xdr:rowOff>93372</xdr:rowOff>
    </xdr:to>
    <xdr:sp macro="" textlink="">
      <xdr:nvSpPr>
        <xdr:cNvPr id="12369" name="Node 38">
          <a:extLst>
            <a:ext uri="{FF2B5EF4-FFF2-40B4-BE49-F238E27FC236}">
              <a16:creationId xmlns:a16="http://schemas.microsoft.com/office/drawing/2014/main" id="{43ECA8E8-5889-41BD-936C-AFF13240966E}"/>
            </a:ext>
          </a:extLst>
        </xdr:cNvPr>
        <xdr:cNvSpPr/>
      </xdr:nvSpPr>
      <xdr:spPr>
        <a:xfrm>
          <a:off x="13187645" y="3888184"/>
          <a:ext cx="395474" cy="387530"/>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38</a:t>
          </a:r>
        </a:p>
      </xdr:txBody>
    </xdr:sp>
    <xdr:clientData/>
  </xdr:twoCellAnchor>
  <xdr:twoCellAnchor>
    <xdr:from>
      <xdr:col>21</xdr:col>
      <xdr:colOff>517108</xdr:colOff>
      <xdr:row>25</xdr:row>
      <xdr:rowOff>120553</xdr:rowOff>
    </xdr:from>
    <xdr:to>
      <xdr:col>22</xdr:col>
      <xdr:colOff>289127</xdr:colOff>
      <xdr:row>27</xdr:row>
      <xdr:rowOff>144404</xdr:rowOff>
    </xdr:to>
    <xdr:sp macro="" textlink="">
      <xdr:nvSpPr>
        <xdr:cNvPr id="12370" name="Node 37">
          <a:extLst>
            <a:ext uri="{FF2B5EF4-FFF2-40B4-BE49-F238E27FC236}">
              <a16:creationId xmlns:a16="http://schemas.microsoft.com/office/drawing/2014/main" id="{41256C4F-A44C-4464-A5A1-33B96AD61FC2}"/>
            </a:ext>
          </a:extLst>
        </xdr:cNvPr>
        <xdr:cNvSpPr/>
      </xdr:nvSpPr>
      <xdr:spPr>
        <a:xfrm>
          <a:off x="13194017" y="4666577"/>
          <a:ext cx="395474" cy="387532"/>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37</a:t>
          </a:r>
        </a:p>
      </xdr:txBody>
    </xdr:sp>
    <xdr:clientData/>
  </xdr:twoCellAnchor>
  <xdr:twoCellAnchor>
    <xdr:from>
      <xdr:col>21</xdr:col>
      <xdr:colOff>516403</xdr:colOff>
      <xdr:row>29</xdr:row>
      <xdr:rowOff>166881</xdr:rowOff>
    </xdr:from>
    <xdr:to>
      <xdr:col>22</xdr:col>
      <xdr:colOff>288422</xdr:colOff>
      <xdr:row>32</xdr:row>
      <xdr:rowOff>8890</xdr:rowOff>
    </xdr:to>
    <xdr:sp macro="" textlink="">
      <xdr:nvSpPr>
        <xdr:cNvPr id="12371" name="Node 36">
          <a:extLst>
            <a:ext uri="{FF2B5EF4-FFF2-40B4-BE49-F238E27FC236}">
              <a16:creationId xmlns:a16="http://schemas.microsoft.com/office/drawing/2014/main" id="{2D39D569-E89B-43C7-AE2A-FAC1F00C9713}"/>
            </a:ext>
          </a:extLst>
        </xdr:cNvPr>
        <xdr:cNvSpPr/>
      </xdr:nvSpPr>
      <xdr:spPr>
        <a:xfrm>
          <a:off x="13193312" y="5440268"/>
          <a:ext cx="395474" cy="387531"/>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36</a:t>
          </a:r>
        </a:p>
      </xdr:txBody>
    </xdr:sp>
    <xdr:clientData/>
  </xdr:twoCellAnchor>
  <xdr:twoCellAnchor>
    <xdr:from>
      <xdr:col>21</xdr:col>
      <xdr:colOff>509497</xdr:colOff>
      <xdr:row>41</xdr:row>
      <xdr:rowOff>172876</xdr:rowOff>
    </xdr:from>
    <xdr:to>
      <xdr:col>22</xdr:col>
      <xdr:colOff>281516</xdr:colOff>
      <xdr:row>44</xdr:row>
      <xdr:rowOff>14885</xdr:rowOff>
    </xdr:to>
    <xdr:sp macro="" textlink="">
      <xdr:nvSpPr>
        <xdr:cNvPr id="12372" name="Node 35">
          <a:extLst>
            <a:ext uri="{FF2B5EF4-FFF2-40B4-BE49-F238E27FC236}">
              <a16:creationId xmlns:a16="http://schemas.microsoft.com/office/drawing/2014/main" id="{22F1B869-A464-48FB-B2F9-3B7B93CE96E3}"/>
            </a:ext>
          </a:extLst>
        </xdr:cNvPr>
        <xdr:cNvSpPr/>
      </xdr:nvSpPr>
      <xdr:spPr>
        <a:xfrm>
          <a:off x="13186406" y="7628354"/>
          <a:ext cx="395474" cy="387531"/>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35</a:t>
          </a:r>
        </a:p>
      </xdr:txBody>
    </xdr:sp>
    <xdr:clientData/>
  </xdr:twoCellAnchor>
  <xdr:twoCellAnchor>
    <xdr:from>
      <xdr:col>24</xdr:col>
      <xdr:colOff>440524</xdr:colOff>
      <xdr:row>41</xdr:row>
      <xdr:rowOff>168933</xdr:rowOff>
    </xdr:from>
    <xdr:to>
      <xdr:col>25</xdr:col>
      <xdr:colOff>212547</xdr:colOff>
      <xdr:row>44</xdr:row>
      <xdr:rowOff>10942</xdr:rowOff>
    </xdr:to>
    <xdr:sp macro="" textlink="">
      <xdr:nvSpPr>
        <xdr:cNvPr id="12373" name="Node 34">
          <a:extLst>
            <a:ext uri="{FF2B5EF4-FFF2-40B4-BE49-F238E27FC236}">
              <a16:creationId xmlns:a16="http://schemas.microsoft.com/office/drawing/2014/main" id="{136C5DF5-C7B0-4BA1-AC24-7FBEFEA8CA63}"/>
            </a:ext>
          </a:extLst>
        </xdr:cNvPr>
        <xdr:cNvSpPr/>
      </xdr:nvSpPr>
      <xdr:spPr>
        <a:xfrm>
          <a:off x="14987797" y="7624411"/>
          <a:ext cx="395477" cy="387531"/>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34</a:t>
          </a:r>
        </a:p>
      </xdr:txBody>
    </xdr:sp>
    <xdr:clientData/>
  </xdr:twoCellAnchor>
  <xdr:twoCellAnchor>
    <xdr:from>
      <xdr:col>26</xdr:col>
      <xdr:colOff>336000</xdr:colOff>
      <xdr:row>41</xdr:row>
      <xdr:rowOff>173302</xdr:rowOff>
    </xdr:from>
    <xdr:to>
      <xdr:col>27</xdr:col>
      <xdr:colOff>112025</xdr:colOff>
      <xdr:row>44</xdr:row>
      <xdr:rowOff>15311</xdr:rowOff>
    </xdr:to>
    <xdr:sp macro="" textlink="">
      <xdr:nvSpPr>
        <xdr:cNvPr id="12374" name="Node 33">
          <a:extLst>
            <a:ext uri="{FF2B5EF4-FFF2-40B4-BE49-F238E27FC236}">
              <a16:creationId xmlns:a16="http://schemas.microsoft.com/office/drawing/2014/main" id="{E983ED61-4F5F-43D8-81AB-8C101A14A67C}"/>
            </a:ext>
          </a:extLst>
        </xdr:cNvPr>
        <xdr:cNvSpPr/>
      </xdr:nvSpPr>
      <xdr:spPr>
        <a:xfrm>
          <a:off x="16130182" y="7628780"/>
          <a:ext cx="399479" cy="387531"/>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33</a:t>
          </a:r>
        </a:p>
      </xdr:txBody>
    </xdr:sp>
    <xdr:clientData/>
  </xdr:twoCellAnchor>
  <xdr:twoCellAnchor>
    <xdr:from>
      <xdr:col>31</xdr:col>
      <xdr:colOff>492088</xdr:colOff>
      <xdr:row>34</xdr:row>
      <xdr:rowOff>48251</xdr:rowOff>
    </xdr:from>
    <xdr:to>
      <xdr:col>32</xdr:col>
      <xdr:colOff>264111</xdr:colOff>
      <xdr:row>36</xdr:row>
      <xdr:rowOff>72100</xdr:rowOff>
    </xdr:to>
    <xdr:sp macro="" textlink="">
      <xdr:nvSpPr>
        <xdr:cNvPr id="12375" name="Node 32">
          <a:extLst>
            <a:ext uri="{FF2B5EF4-FFF2-40B4-BE49-F238E27FC236}">
              <a16:creationId xmlns:a16="http://schemas.microsoft.com/office/drawing/2014/main" id="{90427768-E554-4E20-A39A-26A4912AF260}"/>
            </a:ext>
          </a:extLst>
        </xdr:cNvPr>
        <xdr:cNvSpPr/>
      </xdr:nvSpPr>
      <xdr:spPr>
        <a:xfrm>
          <a:off x="19403543" y="6230842"/>
          <a:ext cx="395477" cy="387531"/>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32</a:t>
          </a:r>
        </a:p>
      </xdr:txBody>
    </xdr:sp>
    <xdr:clientData/>
  </xdr:twoCellAnchor>
  <xdr:twoCellAnchor>
    <xdr:from>
      <xdr:col>31</xdr:col>
      <xdr:colOff>480621</xdr:colOff>
      <xdr:row>30</xdr:row>
      <xdr:rowOff>31969</xdr:rowOff>
    </xdr:from>
    <xdr:to>
      <xdr:col>32</xdr:col>
      <xdr:colOff>252644</xdr:colOff>
      <xdr:row>32</xdr:row>
      <xdr:rowOff>55818</xdr:rowOff>
    </xdr:to>
    <xdr:sp macro="" textlink="">
      <xdr:nvSpPr>
        <xdr:cNvPr id="12376" name="Node 31">
          <a:extLst>
            <a:ext uri="{FF2B5EF4-FFF2-40B4-BE49-F238E27FC236}">
              <a16:creationId xmlns:a16="http://schemas.microsoft.com/office/drawing/2014/main" id="{DD4F8BF1-1A45-47C7-BE06-85DB8E2BAA7F}"/>
            </a:ext>
          </a:extLst>
        </xdr:cNvPr>
        <xdr:cNvSpPr/>
      </xdr:nvSpPr>
      <xdr:spPr>
        <a:xfrm>
          <a:off x="19392076" y="5487196"/>
          <a:ext cx="395477" cy="387531"/>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31</a:t>
          </a:r>
        </a:p>
      </xdr:txBody>
    </xdr:sp>
    <xdr:clientData/>
  </xdr:twoCellAnchor>
  <xdr:twoCellAnchor>
    <xdr:from>
      <xdr:col>31</xdr:col>
      <xdr:colOff>478408</xdr:colOff>
      <xdr:row>16</xdr:row>
      <xdr:rowOff>108870</xdr:rowOff>
    </xdr:from>
    <xdr:to>
      <xdr:col>32</xdr:col>
      <xdr:colOff>250431</xdr:colOff>
      <xdr:row>18</xdr:row>
      <xdr:rowOff>132720</xdr:rowOff>
    </xdr:to>
    <xdr:sp macro="" textlink="">
      <xdr:nvSpPr>
        <xdr:cNvPr id="12377" name="Node 30">
          <a:extLst>
            <a:ext uri="{FF2B5EF4-FFF2-40B4-BE49-F238E27FC236}">
              <a16:creationId xmlns:a16="http://schemas.microsoft.com/office/drawing/2014/main" id="{045C0EDF-FB64-4F8F-901F-461098525349}"/>
            </a:ext>
          </a:extLst>
        </xdr:cNvPr>
        <xdr:cNvSpPr/>
      </xdr:nvSpPr>
      <xdr:spPr>
        <a:xfrm>
          <a:off x="19389863" y="3018325"/>
          <a:ext cx="395477" cy="387531"/>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30</a:t>
          </a:r>
        </a:p>
      </xdr:txBody>
    </xdr:sp>
    <xdr:clientData/>
  </xdr:twoCellAnchor>
  <xdr:twoCellAnchor>
    <xdr:from>
      <xdr:col>28</xdr:col>
      <xdr:colOff>113538</xdr:colOff>
      <xdr:row>16</xdr:row>
      <xdr:rowOff>111957</xdr:rowOff>
    </xdr:from>
    <xdr:to>
      <xdr:col>28</xdr:col>
      <xdr:colOff>514166</xdr:colOff>
      <xdr:row>18</xdr:row>
      <xdr:rowOff>135807</xdr:rowOff>
    </xdr:to>
    <xdr:sp macro="" textlink="">
      <xdr:nvSpPr>
        <xdr:cNvPr id="12378" name="Node 29">
          <a:extLst>
            <a:ext uri="{FF2B5EF4-FFF2-40B4-BE49-F238E27FC236}">
              <a16:creationId xmlns:a16="http://schemas.microsoft.com/office/drawing/2014/main" id="{6A6FC6A1-1DC5-49E7-8428-540B84158A51}"/>
            </a:ext>
          </a:extLst>
        </xdr:cNvPr>
        <xdr:cNvSpPr/>
      </xdr:nvSpPr>
      <xdr:spPr>
        <a:xfrm>
          <a:off x="17154629" y="3021412"/>
          <a:ext cx="400628" cy="387531"/>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29</a:t>
          </a:r>
        </a:p>
      </xdr:txBody>
    </xdr:sp>
    <xdr:clientData/>
  </xdr:twoCellAnchor>
  <xdr:twoCellAnchor>
    <xdr:from>
      <xdr:col>26</xdr:col>
      <xdr:colOff>337239</xdr:colOff>
      <xdr:row>16</xdr:row>
      <xdr:rowOff>108529</xdr:rowOff>
    </xdr:from>
    <xdr:to>
      <xdr:col>27</xdr:col>
      <xdr:colOff>113264</xdr:colOff>
      <xdr:row>18</xdr:row>
      <xdr:rowOff>132379</xdr:rowOff>
    </xdr:to>
    <xdr:sp macro="" textlink="">
      <xdr:nvSpPr>
        <xdr:cNvPr id="12379" name="Node 28">
          <a:extLst>
            <a:ext uri="{FF2B5EF4-FFF2-40B4-BE49-F238E27FC236}">
              <a16:creationId xmlns:a16="http://schemas.microsoft.com/office/drawing/2014/main" id="{AE13D1C6-9D22-4679-9C57-E8B179912292}"/>
            </a:ext>
          </a:extLst>
        </xdr:cNvPr>
        <xdr:cNvSpPr/>
      </xdr:nvSpPr>
      <xdr:spPr>
        <a:xfrm>
          <a:off x="16131421" y="3017984"/>
          <a:ext cx="399479" cy="387531"/>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28</a:t>
          </a:r>
        </a:p>
      </xdr:txBody>
    </xdr:sp>
    <xdr:clientData/>
  </xdr:twoCellAnchor>
  <xdr:twoCellAnchor>
    <xdr:from>
      <xdr:col>24</xdr:col>
      <xdr:colOff>455046</xdr:colOff>
      <xdr:row>16</xdr:row>
      <xdr:rowOff>103567</xdr:rowOff>
    </xdr:from>
    <xdr:to>
      <xdr:col>25</xdr:col>
      <xdr:colOff>227069</xdr:colOff>
      <xdr:row>18</xdr:row>
      <xdr:rowOff>127330</xdr:rowOff>
    </xdr:to>
    <xdr:sp macro="" textlink="">
      <xdr:nvSpPr>
        <xdr:cNvPr id="12380" name="Node 27">
          <a:extLst>
            <a:ext uri="{FF2B5EF4-FFF2-40B4-BE49-F238E27FC236}">
              <a16:creationId xmlns:a16="http://schemas.microsoft.com/office/drawing/2014/main" id="{80C582A0-E1D5-40A2-9229-EEAC0F281D9D}"/>
            </a:ext>
          </a:extLst>
        </xdr:cNvPr>
        <xdr:cNvSpPr/>
      </xdr:nvSpPr>
      <xdr:spPr>
        <a:xfrm>
          <a:off x="15002319" y="3013022"/>
          <a:ext cx="395477" cy="387444"/>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27</a:t>
          </a:r>
        </a:p>
      </xdr:txBody>
    </xdr:sp>
    <xdr:clientData/>
  </xdr:twoCellAnchor>
  <xdr:twoCellAnchor>
    <xdr:from>
      <xdr:col>21</xdr:col>
      <xdr:colOff>510382</xdr:colOff>
      <xdr:row>16</xdr:row>
      <xdr:rowOff>110586</xdr:rowOff>
    </xdr:from>
    <xdr:to>
      <xdr:col>22</xdr:col>
      <xdr:colOff>282401</xdr:colOff>
      <xdr:row>18</xdr:row>
      <xdr:rowOff>134436</xdr:rowOff>
    </xdr:to>
    <xdr:sp macro="" textlink="">
      <xdr:nvSpPr>
        <xdr:cNvPr id="12381" name="Node 26">
          <a:extLst>
            <a:ext uri="{FF2B5EF4-FFF2-40B4-BE49-F238E27FC236}">
              <a16:creationId xmlns:a16="http://schemas.microsoft.com/office/drawing/2014/main" id="{45E4CC91-AE18-4CE8-BB68-8B3F1041B89D}"/>
            </a:ext>
          </a:extLst>
        </xdr:cNvPr>
        <xdr:cNvSpPr/>
      </xdr:nvSpPr>
      <xdr:spPr>
        <a:xfrm>
          <a:off x="13187291" y="3020041"/>
          <a:ext cx="395474" cy="387531"/>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26</a:t>
          </a:r>
        </a:p>
      </xdr:txBody>
    </xdr:sp>
    <xdr:clientData/>
  </xdr:twoCellAnchor>
  <xdr:twoCellAnchor>
    <xdr:from>
      <xdr:col>18</xdr:col>
      <xdr:colOff>496313</xdr:colOff>
      <xdr:row>16</xdr:row>
      <xdr:rowOff>101855</xdr:rowOff>
    </xdr:from>
    <xdr:to>
      <xdr:col>19</xdr:col>
      <xdr:colOff>272337</xdr:colOff>
      <xdr:row>18</xdr:row>
      <xdr:rowOff>125618</xdr:rowOff>
    </xdr:to>
    <xdr:sp macro="" textlink="">
      <xdr:nvSpPr>
        <xdr:cNvPr id="12382" name="Node 25">
          <a:extLst>
            <a:ext uri="{FF2B5EF4-FFF2-40B4-BE49-F238E27FC236}">
              <a16:creationId xmlns:a16="http://schemas.microsoft.com/office/drawing/2014/main" id="{C855A754-08AF-4033-B13E-3344A8BB34EA}"/>
            </a:ext>
          </a:extLst>
        </xdr:cNvPr>
        <xdr:cNvSpPr/>
      </xdr:nvSpPr>
      <xdr:spPr>
        <a:xfrm>
          <a:off x="11302858" y="3011310"/>
          <a:ext cx="399479" cy="387444"/>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25</a:t>
          </a:r>
        </a:p>
      </xdr:txBody>
    </xdr:sp>
    <xdr:clientData/>
  </xdr:twoCellAnchor>
  <xdr:twoCellAnchor>
    <xdr:from>
      <xdr:col>17</xdr:col>
      <xdr:colOff>128056</xdr:colOff>
      <xdr:row>16</xdr:row>
      <xdr:rowOff>103900</xdr:rowOff>
    </xdr:from>
    <xdr:to>
      <xdr:col>17</xdr:col>
      <xdr:colOff>528685</xdr:colOff>
      <xdr:row>18</xdr:row>
      <xdr:rowOff>128532</xdr:rowOff>
    </xdr:to>
    <xdr:sp macro="" textlink="">
      <xdr:nvSpPr>
        <xdr:cNvPr id="12383" name="Node 24">
          <a:extLst>
            <a:ext uri="{FF2B5EF4-FFF2-40B4-BE49-F238E27FC236}">
              <a16:creationId xmlns:a16="http://schemas.microsoft.com/office/drawing/2014/main" id="{E9EA86CC-3450-414C-B9BB-6E17E6193719}"/>
            </a:ext>
          </a:extLst>
        </xdr:cNvPr>
        <xdr:cNvSpPr/>
      </xdr:nvSpPr>
      <xdr:spPr>
        <a:xfrm>
          <a:off x="10311147" y="3013355"/>
          <a:ext cx="400629" cy="388313"/>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24</a:t>
          </a:r>
        </a:p>
      </xdr:txBody>
    </xdr:sp>
    <xdr:clientData/>
  </xdr:twoCellAnchor>
  <xdr:twoCellAnchor>
    <xdr:from>
      <xdr:col>17</xdr:col>
      <xdr:colOff>131419</xdr:colOff>
      <xdr:row>21</xdr:row>
      <xdr:rowOff>56329</xdr:rowOff>
    </xdr:from>
    <xdr:to>
      <xdr:col>17</xdr:col>
      <xdr:colOff>532048</xdr:colOff>
      <xdr:row>23</xdr:row>
      <xdr:rowOff>80177</xdr:rowOff>
    </xdr:to>
    <xdr:sp macro="" textlink="">
      <xdr:nvSpPr>
        <xdr:cNvPr id="12384" name="Node 23">
          <a:extLst>
            <a:ext uri="{FF2B5EF4-FFF2-40B4-BE49-F238E27FC236}">
              <a16:creationId xmlns:a16="http://schemas.microsoft.com/office/drawing/2014/main" id="{D745F407-B431-4F08-AACD-7E2E2C59A4A7}"/>
            </a:ext>
          </a:extLst>
        </xdr:cNvPr>
        <xdr:cNvSpPr/>
      </xdr:nvSpPr>
      <xdr:spPr>
        <a:xfrm>
          <a:off x="10314510" y="3874989"/>
          <a:ext cx="400629" cy="387530"/>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23</a:t>
          </a:r>
        </a:p>
      </xdr:txBody>
    </xdr:sp>
    <xdr:clientData/>
  </xdr:twoCellAnchor>
  <xdr:twoCellAnchor>
    <xdr:from>
      <xdr:col>17</xdr:col>
      <xdr:colOff>114777</xdr:colOff>
      <xdr:row>25</xdr:row>
      <xdr:rowOff>134782</xdr:rowOff>
    </xdr:from>
    <xdr:to>
      <xdr:col>17</xdr:col>
      <xdr:colOff>515406</xdr:colOff>
      <xdr:row>27</xdr:row>
      <xdr:rowOff>158633</xdr:rowOff>
    </xdr:to>
    <xdr:sp macro="" textlink="">
      <xdr:nvSpPr>
        <xdr:cNvPr id="12385" name="Node 22">
          <a:extLst>
            <a:ext uri="{FF2B5EF4-FFF2-40B4-BE49-F238E27FC236}">
              <a16:creationId xmlns:a16="http://schemas.microsoft.com/office/drawing/2014/main" id="{745E08C2-4C0C-4F3E-8A21-FA474789381B}"/>
            </a:ext>
          </a:extLst>
        </xdr:cNvPr>
        <xdr:cNvSpPr/>
      </xdr:nvSpPr>
      <xdr:spPr>
        <a:xfrm>
          <a:off x="10297868" y="4680806"/>
          <a:ext cx="400629" cy="387532"/>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22</a:t>
          </a:r>
        </a:p>
      </xdr:txBody>
    </xdr:sp>
    <xdr:clientData/>
  </xdr:twoCellAnchor>
  <xdr:twoCellAnchor>
    <xdr:from>
      <xdr:col>17</xdr:col>
      <xdr:colOff>133546</xdr:colOff>
      <xdr:row>30</xdr:row>
      <xdr:rowOff>6984</xdr:rowOff>
    </xdr:from>
    <xdr:to>
      <xdr:col>17</xdr:col>
      <xdr:colOff>534175</xdr:colOff>
      <xdr:row>32</xdr:row>
      <xdr:rowOff>30833</xdr:rowOff>
    </xdr:to>
    <xdr:sp macro="" textlink="">
      <xdr:nvSpPr>
        <xdr:cNvPr id="12386" name="Node 21">
          <a:extLst>
            <a:ext uri="{FF2B5EF4-FFF2-40B4-BE49-F238E27FC236}">
              <a16:creationId xmlns:a16="http://schemas.microsoft.com/office/drawing/2014/main" id="{3CB9F7BA-9E93-4FC5-AFE4-F3A97868124D}"/>
            </a:ext>
          </a:extLst>
        </xdr:cNvPr>
        <xdr:cNvSpPr/>
      </xdr:nvSpPr>
      <xdr:spPr>
        <a:xfrm>
          <a:off x="10316637" y="5462211"/>
          <a:ext cx="400629" cy="387531"/>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21</a:t>
          </a:r>
        </a:p>
      </xdr:txBody>
    </xdr:sp>
    <xdr:clientData/>
  </xdr:twoCellAnchor>
  <xdr:twoCellAnchor>
    <xdr:from>
      <xdr:col>17</xdr:col>
      <xdr:colOff>152489</xdr:colOff>
      <xdr:row>46</xdr:row>
      <xdr:rowOff>108578</xdr:rowOff>
    </xdr:from>
    <xdr:to>
      <xdr:col>17</xdr:col>
      <xdr:colOff>553118</xdr:colOff>
      <xdr:row>48</xdr:row>
      <xdr:rowOff>132427</xdr:rowOff>
    </xdr:to>
    <xdr:sp macro="" textlink="">
      <xdr:nvSpPr>
        <xdr:cNvPr id="12387" name="Node 20">
          <a:extLst>
            <a:ext uri="{FF2B5EF4-FFF2-40B4-BE49-F238E27FC236}">
              <a16:creationId xmlns:a16="http://schemas.microsoft.com/office/drawing/2014/main" id="{F4C818FE-56A2-4365-BAC6-65099929D249}"/>
            </a:ext>
          </a:extLst>
        </xdr:cNvPr>
        <xdr:cNvSpPr/>
      </xdr:nvSpPr>
      <xdr:spPr>
        <a:xfrm>
          <a:off x="10335580" y="8473260"/>
          <a:ext cx="400629" cy="387531"/>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20</a:t>
          </a:r>
        </a:p>
      </xdr:txBody>
    </xdr:sp>
    <xdr:clientData/>
  </xdr:twoCellAnchor>
  <xdr:twoCellAnchor>
    <xdr:from>
      <xdr:col>24</xdr:col>
      <xdr:colOff>448494</xdr:colOff>
      <xdr:row>46</xdr:row>
      <xdr:rowOff>101392</xdr:rowOff>
    </xdr:from>
    <xdr:to>
      <xdr:col>25</xdr:col>
      <xdr:colOff>220517</xdr:colOff>
      <xdr:row>48</xdr:row>
      <xdr:rowOff>124371</xdr:rowOff>
    </xdr:to>
    <xdr:sp macro="" textlink="">
      <xdr:nvSpPr>
        <xdr:cNvPr id="12388" name="Node 19">
          <a:extLst>
            <a:ext uri="{FF2B5EF4-FFF2-40B4-BE49-F238E27FC236}">
              <a16:creationId xmlns:a16="http://schemas.microsoft.com/office/drawing/2014/main" id="{CCA299A8-D6FC-48DC-93AD-C77D5ACB9085}"/>
            </a:ext>
          </a:extLst>
        </xdr:cNvPr>
        <xdr:cNvSpPr/>
      </xdr:nvSpPr>
      <xdr:spPr>
        <a:xfrm>
          <a:off x="14995767" y="8466074"/>
          <a:ext cx="395477" cy="386661"/>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19</a:t>
          </a:r>
        </a:p>
      </xdr:txBody>
    </xdr:sp>
    <xdr:clientData/>
  </xdr:twoCellAnchor>
  <xdr:twoCellAnchor>
    <xdr:from>
      <xdr:col>26</xdr:col>
      <xdr:colOff>340601</xdr:colOff>
      <xdr:row>46</xdr:row>
      <xdr:rowOff>91964</xdr:rowOff>
    </xdr:from>
    <xdr:to>
      <xdr:col>27</xdr:col>
      <xdr:colOff>116626</xdr:colOff>
      <xdr:row>48</xdr:row>
      <xdr:rowOff>114943</xdr:rowOff>
    </xdr:to>
    <xdr:sp macro="" textlink="">
      <xdr:nvSpPr>
        <xdr:cNvPr id="12389" name="Node 18">
          <a:extLst>
            <a:ext uri="{FF2B5EF4-FFF2-40B4-BE49-F238E27FC236}">
              <a16:creationId xmlns:a16="http://schemas.microsoft.com/office/drawing/2014/main" id="{DD1765E2-4A2C-4B01-90FD-B2388AFFE80C}"/>
            </a:ext>
          </a:extLst>
        </xdr:cNvPr>
        <xdr:cNvSpPr/>
      </xdr:nvSpPr>
      <xdr:spPr>
        <a:xfrm>
          <a:off x="16134783" y="8456646"/>
          <a:ext cx="399479" cy="386661"/>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18</a:t>
          </a:r>
        </a:p>
      </xdr:txBody>
    </xdr:sp>
    <xdr:clientData/>
  </xdr:twoCellAnchor>
  <xdr:twoCellAnchor>
    <xdr:from>
      <xdr:col>31</xdr:col>
      <xdr:colOff>484651</xdr:colOff>
      <xdr:row>38</xdr:row>
      <xdr:rowOff>5352</xdr:rowOff>
    </xdr:from>
    <xdr:to>
      <xdr:col>32</xdr:col>
      <xdr:colOff>256674</xdr:colOff>
      <xdr:row>40</xdr:row>
      <xdr:rowOff>29203</xdr:rowOff>
    </xdr:to>
    <xdr:sp macro="" textlink="">
      <xdr:nvSpPr>
        <xdr:cNvPr id="12390" name="Node 17">
          <a:extLst>
            <a:ext uri="{FF2B5EF4-FFF2-40B4-BE49-F238E27FC236}">
              <a16:creationId xmlns:a16="http://schemas.microsoft.com/office/drawing/2014/main" id="{DE56E46B-1EC5-4E89-882F-3199771987E2}"/>
            </a:ext>
          </a:extLst>
        </xdr:cNvPr>
        <xdr:cNvSpPr/>
      </xdr:nvSpPr>
      <xdr:spPr>
        <a:xfrm>
          <a:off x="19396106" y="6915307"/>
          <a:ext cx="395477" cy="387532"/>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17</a:t>
          </a:r>
        </a:p>
      </xdr:txBody>
    </xdr:sp>
    <xdr:clientData/>
  </xdr:twoCellAnchor>
  <xdr:twoCellAnchor>
    <xdr:from>
      <xdr:col>35</xdr:col>
      <xdr:colOff>596466</xdr:colOff>
      <xdr:row>30</xdr:row>
      <xdr:rowOff>33939</xdr:rowOff>
    </xdr:from>
    <xdr:to>
      <xdr:col>36</xdr:col>
      <xdr:colOff>373642</xdr:colOff>
      <xdr:row>32</xdr:row>
      <xdr:rowOff>57788</xdr:rowOff>
    </xdr:to>
    <xdr:sp macro="" textlink="">
      <xdr:nvSpPr>
        <xdr:cNvPr id="12391" name="Node 16">
          <a:extLst>
            <a:ext uri="{FF2B5EF4-FFF2-40B4-BE49-F238E27FC236}">
              <a16:creationId xmlns:a16="http://schemas.microsoft.com/office/drawing/2014/main" id="{B51E96AB-2DCE-40E0-ABF8-B6B3540AF476}"/>
            </a:ext>
          </a:extLst>
        </xdr:cNvPr>
        <xdr:cNvSpPr/>
      </xdr:nvSpPr>
      <xdr:spPr>
        <a:xfrm>
          <a:off x="22001739" y="5489166"/>
          <a:ext cx="400630" cy="387531"/>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16</a:t>
          </a:r>
        </a:p>
      </xdr:txBody>
    </xdr:sp>
    <xdr:clientData/>
  </xdr:twoCellAnchor>
  <xdr:twoCellAnchor>
    <xdr:from>
      <xdr:col>35</xdr:col>
      <xdr:colOff>548749</xdr:colOff>
      <xdr:row>16</xdr:row>
      <xdr:rowOff>146329</xdr:rowOff>
    </xdr:from>
    <xdr:to>
      <xdr:col>36</xdr:col>
      <xdr:colOff>320770</xdr:colOff>
      <xdr:row>18</xdr:row>
      <xdr:rowOff>170179</xdr:rowOff>
    </xdr:to>
    <xdr:sp macro="" textlink="">
      <xdr:nvSpPr>
        <xdr:cNvPr id="12392" name="Node 15">
          <a:extLst>
            <a:ext uri="{FF2B5EF4-FFF2-40B4-BE49-F238E27FC236}">
              <a16:creationId xmlns:a16="http://schemas.microsoft.com/office/drawing/2014/main" id="{B810D67C-41BD-497C-A2DB-01A139DAB163}"/>
            </a:ext>
          </a:extLst>
        </xdr:cNvPr>
        <xdr:cNvSpPr/>
      </xdr:nvSpPr>
      <xdr:spPr>
        <a:xfrm>
          <a:off x="21954022" y="3055784"/>
          <a:ext cx="395475" cy="387531"/>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15</a:t>
          </a:r>
        </a:p>
      </xdr:txBody>
    </xdr:sp>
    <xdr:clientData/>
  </xdr:twoCellAnchor>
  <xdr:twoCellAnchor>
    <xdr:from>
      <xdr:col>31</xdr:col>
      <xdr:colOff>475044</xdr:colOff>
      <xdr:row>5</xdr:row>
      <xdr:rowOff>82449</xdr:rowOff>
    </xdr:from>
    <xdr:to>
      <xdr:col>32</xdr:col>
      <xdr:colOff>247067</xdr:colOff>
      <xdr:row>7</xdr:row>
      <xdr:rowOff>106297</xdr:rowOff>
    </xdr:to>
    <xdr:sp macro="" textlink="">
      <xdr:nvSpPr>
        <xdr:cNvPr id="12393" name="Node 14">
          <a:extLst>
            <a:ext uri="{FF2B5EF4-FFF2-40B4-BE49-F238E27FC236}">
              <a16:creationId xmlns:a16="http://schemas.microsoft.com/office/drawing/2014/main" id="{5A0206D1-33A4-4778-BA75-5906A13D25A1}"/>
            </a:ext>
          </a:extLst>
        </xdr:cNvPr>
        <xdr:cNvSpPr/>
      </xdr:nvSpPr>
      <xdr:spPr>
        <a:xfrm>
          <a:off x="19386499" y="991654"/>
          <a:ext cx="395477" cy="387530"/>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14</a:t>
          </a:r>
        </a:p>
      </xdr:txBody>
    </xdr:sp>
    <xdr:clientData/>
  </xdr:twoCellAnchor>
  <xdr:twoCellAnchor>
    <xdr:from>
      <xdr:col>28</xdr:col>
      <xdr:colOff>120797</xdr:colOff>
      <xdr:row>5</xdr:row>
      <xdr:rowOff>86391</xdr:rowOff>
    </xdr:from>
    <xdr:to>
      <xdr:col>28</xdr:col>
      <xdr:colOff>521425</xdr:colOff>
      <xdr:row>7</xdr:row>
      <xdr:rowOff>110239</xdr:rowOff>
    </xdr:to>
    <xdr:sp macro="" textlink="">
      <xdr:nvSpPr>
        <xdr:cNvPr id="12394" name="Node 13">
          <a:extLst>
            <a:ext uri="{FF2B5EF4-FFF2-40B4-BE49-F238E27FC236}">
              <a16:creationId xmlns:a16="http://schemas.microsoft.com/office/drawing/2014/main" id="{A1754D99-DB70-4F59-90C8-DC46DD8BC8FC}"/>
            </a:ext>
          </a:extLst>
        </xdr:cNvPr>
        <xdr:cNvSpPr/>
      </xdr:nvSpPr>
      <xdr:spPr>
        <a:xfrm>
          <a:off x="17161888" y="995596"/>
          <a:ext cx="400628" cy="387530"/>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13</a:t>
          </a:r>
        </a:p>
      </xdr:txBody>
    </xdr:sp>
    <xdr:clientData/>
  </xdr:twoCellAnchor>
  <xdr:twoCellAnchor>
    <xdr:from>
      <xdr:col>24</xdr:col>
      <xdr:colOff>438400</xdr:colOff>
      <xdr:row>5</xdr:row>
      <xdr:rowOff>73705</xdr:rowOff>
    </xdr:from>
    <xdr:to>
      <xdr:col>25</xdr:col>
      <xdr:colOff>210423</xdr:colOff>
      <xdr:row>7</xdr:row>
      <xdr:rowOff>97553</xdr:rowOff>
    </xdr:to>
    <xdr:sp macro="" textlink="">
      <xdr:nvSpPr>
        <xdr:cNvPr id="12395" name="Node 12">
          <a:extLst>
            <a:ext uri="{FF2B5EF4-FFF2-40B4-BE49-F238E27FC236}">
              <a16:creationId xmlns:a16="http://schemas.microsoft.com/office/drawing/2014/main" id="{D0D5D3C1-2811-4F1D-B2C8-2D15E7BFB11E}"/>
            </a:ext>
          </a:extLst>
        </xdr:cNvPr>
        <xdr:cNvSpPr/>
      </xdr:nvSpPr>
      <xdr:spPr>
        <a:xfrm>
          <a:off x="14985673" y="982910"/>
          <a:ext cx="395477" cy="387530"/>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12</a:t>
          </a:r>
        </a:p>
      </xdr:txBody>
    </xdr:sp>
    <xdr:clientData/>
  </xdr:twoCellAnchor>
  <xdr:twoCellAnchor>
    <xdr:from>
      <xdr:col>21</xdr:col>
      <xdr:colOff>520653</xdr:colOff>
      <xdr:row>5</xdr:row>
      <xdr:rowOff>74221</xdr:rowOff>
    </xdr:from>
    <xdr:to>
      <xdr:col>22</xdr:col>
      <xdr:colOff>292672</xdr:colOff>
      <xdr:row>7</xdr:row>
      <xdr:rowOff>98069</xdr:rowOff>
    </xdr:to>
    <xdr:sp macro="" textlink="">
      <xdr:nvSpPr>
        <xdr:cNvPr id="12396" name="Node 11">
          <a:extLst>
            <a:ext uri="{FF2B5EF4-FFF2-40B4-BE49-F238E27FC236}">
              <a16:creationId xmlns:a16="http://schemas.microsoft.com/office/drawing/2014/main" id="{14801CEB-74EB-45F6-BEA4-58BEC10599DE}"/>
            </a:ext>
          </a:extLst>
        </xdr:cNvPr>
        <xdr:cNvSpPr/>
      </xdr:nvSpPr>
      <xdr:spPr>
        <a:xfrm>
          <a:off x="13197562" y="983426"/>
          <a:ext cx="395474" cy="387530"/>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11</a:t>
          </a:r>
        </a:p>
      </xdr:txBody>
    </xdr:sp>
    <xdr:clientData/>
  </xdr:twoCellAnchor>
  <xdr:twoCellAnchor>
    <xdr:from>
      <xdr:col>18</xdr:col>
      <xdr:colOff>498086</xdr:colOff>
      <xdr:row>5</xdr:row>
      <xdr:rowOff>71822</xdr:rowOff>
    </xdr:from>
    <xdr:to>
      <xdr:col>19</xdr:col>
      <xdr:colOff>274110</xdr:colOff>
      <xdr:row>7</xdr:row>
      <xdr:rowOff>96453</xdr:rowOff>
    </xdr:to>
    <xdr:sp macro="" textlink="">
      <xdr:nvSpPr>
        <xdr:cNvPr id="12397" name="Node 10">
          <a:extLst>
            <a:ext uri="{FF2B5EF4-FFF2-40B4-BE49-F238E27FC236}">
              <a16:creationId xmlns:a16="http://schemas.microsoft.com/office/drawing/2014/main" id="{21C333DA-7F6A-4C94-B739-2CE011B8AB05}"/>
            </a:ext>
          </a:extLst>
        </xdr:cNvPr>
        <xdr:cNvSpPr/>
      </xdr:nvSpPr>
      <xdr:spPr>
        <a:xfrm>
          <a:off x="11304631" y="981027"/>
          <a:ext cx="399479" cy="388313"/>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10</a:t>
          </a:r>
        </a:p>
      </xdr:txBody>
    </xdr:sp>
    <xdr:clientData/>
  </xdr:twoCellAnchor>
  <xdr:twoCellAnchor>
    <xdr:from>
      <xdr:col>17</xdr:col>
      <xdr:colOff>121683</xdr:colOff>
      <xdr:row>5</xdr:row>
      <xdr:rowOff>76279</xdr:rowOff>
    </xdr:from>
    <xdr:to>
      <xdr:col>17</xdr:col>
      <xdr:colOff>522312</xdr:colOff>
      <xdr:row>7</xdr:row>
      <xdr:rowOff>100127</xdr:rowOff>
    </xdr:to>
    <xdr:sp macro="" textlink="">
      <xdr:nvSpPr>
        <xdr:cNvPr id="12398" name="Node 9">
          <a:extLst>
            <a:ext uri="{FF2B5EF4-FFF2-40B4-BE49-F238E27FC236}">
              <a16:creationId xmlns:a16="http://schemas.microsoft.com/office/drawing/2014/main" id="{0CA1FC25-2A6D-40CB-8F2E-2FE2FDF650EF}"/>
            </a:ext>
          </a:extLst>
        </xdr:cNvPr>
        <xdr:cNvSpPr/>
      </xdr:nvSpPr>
      <xdr:spPr>
        <a:xfrm>
          <a:off x="10304774" y="985484"/>
          <a:ext cx="400629" cy="387530"/>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9</a:t>
          </a:r>
        </a:p>
      </xdr:txBody>
    </xdr:sp>
    <xdr:clientData/>
  </xdr:twoCellAnchor>
  <xdr:twoCellAnchor>
    <xdr:from>
      <xdr:col>15</xdr:col>
      <xdr:colOff>471797</xdr:colOff>
      <xdr:row>16</xdr:row>
      <xdr:rowOff>100994</xdr:rowOff>
    </xdr:from>
    <xdr:to>
      <xdr:col>16</xdr:col>
      <xdr:colOff>243818</xdr:colOff>
      <xdr:row>18</xdr:row>
      <xdr:rowOff>124757</xdr:rowOff>
    </xdr:to>
    <xdr:sp macro="" textlink="">
      <xdr:nvSpPr>
        <xdr:cNvPr id="12399" name="Node 8">
          <a:extLst>
            <a:ext uri="{FF2B5EF4-FFF2-40B4-BE49-F238E27FC236}">
              <a16:creationId xmlns:a16="http://schemas.microsoft.com/office/drawing/2014/main" id="{7DA7EE74-989D-4439-92E5-98B42FCD673F}"/>
            </a:ext>
          </a:extLst>
        </xdr:cNvPr>
        <xdr:cNvSpPr/>
      </xdr:nvSpPr>
      <xdr:spPr>
        <a:xfrm>
          <a:off x="9407979" y="3010449"/>
          <a:ext cx="395475" cy="387444"/>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8</a:t>
          </a:r>
        </a:p>
      </xdr:txBody>
    </xdr:sp>
    <xdr:clientData/>
  </xdr:twoCellAnchor>
  <xdr:twoCellAnchor>
    <xdr:from>
      <xdr:col>15</xdr:col>
      <xdr:colOff>477638</xdr:colOff>
      <xdr:row>30</xdr:row>
      <xdr:rowOff>16582</xdr:rowOff>
    </xdr:from>
    <xdr:to>
      <xdr:col>16</xdr:col>
      <xdr:colOff>249659</xdr:colOff>
      <xdr:row>32</xdr:row>
      <xdr:rowOff>40431</xdr:rowOff>
    </xdr:to>
    <xdr:sp macro="" textlink="">
      <xdr:nvSpPr>
        <xdr:cNvPr id="12400" name="Node 7">
          <a:extLst>
            <a:ext uri="{FF2B5EF4-FFF2-40B4-BE49-F238E27FC236}">
              <a16:creationId xmlns:a16="http://schemas.microsoft.com/office/drawing/2014/main" id="{272D0701-E352-4D02-94E9-D372C530ABC2}"/>
            </a:ext>
          </a:extLst>
        </xdr:cNvPr>
        <xdr:cNvSpPr/>
      </xdr:nvSpPr>
      <xdr:spPr>
        <a:xfrm>
          <a:off x="9413820" y="5471809"/>
          <a:ext cx="395475" cy="387531"/>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7</a:t>
          </a:r>
        </a:p>
      </xdr:txBody>
    </xdr:sp>
    <xdr:clientData/>
  </xdr:twoCellAnchor>
  <xdr:twoCellAnchor>
    <xdr:from>
      <xdr:col>24</xdr:col>
      <xdr:colOff>441233</xdr:colOff>
      <xdr:row>50</xdr:row>
      <xdr:rowOff>31621</xdr:rowOff>
    </xdr:from>
    <xdr:to>
      <xdr:col>25</xdr:col>
      <xdr:colOff>213256</xdr:colOff>
      <xdr:row>52</xdr:row>
      <xdr:rowOff>55470</xdr:rowOff>
    </xdr:to>
    <xdr:sp macro="" textlink="">
      <xdr:nvSpPr>
        <xdr:cNvPr id="12401" name="Node 6">
          <a:extLst>
            <a:ext uri="{FF2B5EF4-FFF2-40B4-BE49-F238E27FC236}">
              <a16:creationId xmlns:a16="http://schemas.microsoft.com/office/drawing/2014/main" id="{5503A59B-5628-4012-B85C-CF475D26689E}"/>
            </a:ext>
          </a:extLst>
        </xdr:cNvPr>
        <xdr:cNvSpPr/>
      </xdr:nvSpPr>
      <xdr:spPr>
        <a:xfrm>
          <a:off x="14988506" y="9123666"/>
          <a:ext cx="395477" cy="387531"/>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6</a:t>
          </a:r>
        </a:p>
      </xdr:txBody>
    </xdr:sp>
    <xdr:clientData/>
  </xdr:twoCellAnchor>
  <xdr:twoCellAnchor>
    <xdr:from>
      <xdr:col>26</xdr:col>
      <xdr:colOff>347331</xdr:colOff>
      <xdr:row>50</xdr:row>
      <xdr:rowOff>31919</xdr:rowOff>
    </xdr:from>
    <xdr:to>
      <xdr:col>27</xdr:col>
      <xdr:colOff>123356</xdr:colOff>
      <xdr:row>52</xdr:row>
      <xdr:rowOff>55768</xdr:rowOff>
    </xdr:to>
    <xdr:sp macro="" textlink="">
      <xdr:nvSpPr>
        <xdr:cNvPr id="12402" name="Node 5">
          <a:extLst>
            <a:ext uri="{FF2B5EF4-FFF2-40B4-BE49-F238E27FC236}">
              <a16:creationId xmlns:a16="http://schemas.microsoft.com/office/drawing/2014/main" id="{3DFFA00E-C1D6-4A15-B81C-7AB04A52CB67}"/>
            </a:ext>
          </a:extLst>
        </xdr:cNvPr>
        <xdr:cNvSpPr/>
      </xdr:nvSpPr>
      <xdr:spPr>
        <a:xfrm>
          <a:off x="16141513" y="9123964"/>
          <a:ext cx="399479" cy="387531"/>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5</a:t>
          </a:r>
        </a:p>
      </xdr:txBody>
    </xdr:sp>
    <xdr:clientData/>
  </xdr:twoCellAnchor>
  <xdr:twoCellAnchor>
    <xdr:from>
      <xdr:col>37</xdr:col>
      <xdr:colOff>311502</xdr:colOff>
      <xdr:row>30</xdr:row>
      <xdr:rowOff>29739</xdr:rowOff>
    </xdr:from>
    <xdr:to>
      <xdr:col>38</xdr:col>
      <xdr:colOff>88677</xdr:colOff>
      <xdr:row>32</xdr:row>
      <xdr:rowOff>53588</xdr:rowOff>
    </xdr:to>
    <xdr:sp macro="" textlink="">
      <xdr:nvSpPr>
        <xdr:cNvPr id="12403" name="Node 4">
          <a:extLst>
            <a:ext uri="{FF2B5EF4-FFF2-40B4-BE49-F238E27FC236}">
              <a16:creationId xmlns:a16="http://schemas.microsoft.com/office/drawing/2014/main" id="{A869B751-D76E-451E-8C0C-662E44E5AAB4}"/>
            </a:ext>
          </a:extLst>
        </xdr:cNvPr>
        <xdr:cNvSpPr/>
      </xdr:nvSpPr>
      <xdr:spPr>
        <a:xfrm>
          <a:off x="22963684" y="5484966"/>
          <a:ext cx="400629" cy="387531"/>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4</a:t>
          </a:r>
        </a:p>
      </xdr:txBody>
    </xdr:sp>
    <xdr:clientData/>
  </xdr:twoCellAnchor>
  <xdr:twoCellAnchor>
    <xdr:from>
      <xdr:col>31</xdr:col>
      <xdr:colOff>477523</xdr:colOff>
      <xdr:row>1</xdr:row>
      <xdr:rowOff>100192</xdr:rowOff>
    </xdr:from>
    <xdr:to>
      <xdr:col>32</xdr:col>
      <xdr:colOff>249546</xdr:colOff>
      <xdr:row>3</xdr:row>
      <xdr:rowOff>124041</xdr:rowOff>
    </xdr:to>
    <xdr:sp macro="" textlink="">
      <xdr:nvSpPr>
        <xdr:cNvPr id="12404" name="Node 3">
          <a:extLst>
            <a:ext uri="{FF2B5EF4-FFF2-40B4-BE49-F238E27FC236}">
              <a16:creationId xmlns:a16="http://schemas.microsoft.com/office/drawing/2014/main" id="{C66681A1-39FB-4C88-A87A-F791A61D2D63}"/>
            </a:ext>
          </a:extLst>
        </xdr:cNvPr>
        <xdr:cNvSpPr/>
      </xdr:nvSpPr>
      <xdr:spPr>
        <a:xfrm>
          <a:off x="19388978" y="282034"/>
          <a:ext cx="395477" cy="387531"/>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3</a:t>
          </a:r>
        </a:p>
      </xdr:txBody>
    </xdr:sp>
    <xdr:clientData/>
  </xdr:twoCellAnchor>
  <xdr:twoCellAnchor>
    <xdr:from>
      <xdr:col>18</xdr:col>
      <xdr:colOff>494188</xdr:colOff>
      <xdr:row>1</xdr:row>
      <xdr:rowOff>134821</xdr:rowOff>
    </xdr:from>
    <xdr:to>
      <xdr:col>19</xdr:col>
      <xdr:colOff>270212</xdr:colOff>
      <xdr:row>3</xdr:row>
      <xdr:rowOff>158670</xdr:rowOff>
    </xdr:to>
    <xdr:sp macro="" textlink="">
      <xdr:nvSpPr>
        <xdr:cNvPr id="12405" name="Node 2">
          <a:extLst>
            <a:ext uri="{FF2B5EF4-FFF2-40B4-BE49-F238E27FC236}">
              <a16:creationId xmlns:a16="http://schemas.microsoft.com/office/drawing/2014/main" id="{9719C1F3-56C7-4A82-B222-EFF3E800A1F8}"/>
            </a:ext>
          </a:extLst>
        </xdr:cNvPr>
        <xdr:cNvSpPr/>
      </xdr:nvSpPr>
      <xdr:spPr>
        <a:xfrm>
          <a:off x="11300733" y="316663"/>
          <a:ext cx="399479" cy="387531"/>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2</a:t>
          </a:r>
        </a:p>
      </xdr:txBody>
    </xdr:sp>
    <xdr:clientData/>
  </xdr:twoCellAnchor>
  <xdr:twoCellAnchor>
    <xdr:from>
      <xdr:col>15</xdr:col>
      <xdr:colOff>477463</xdr:colOff>
      <xdr:row>1</xdr:row>
      <xdr:rowOff>134649</xdr:rowOff>
    </xdr:from>
    <xdr:to>
      <xdr:col>16</xdr:col>
      <xdr:colOff>249484</xdr:colOff>
      <xdr:row>3</xdr:row>
      <xdr:rowOff>158498</xdr:rowOff>
    </xdr:to>
    <xdr:sp macro="" textlink="">
      <xdr:nvSpPr>
        <xdr:cNvPr id="12406" name="Node 1">
          <a:extLst>
            <a:ext uri="{FF2B5EF4-FFF2-40B4-BE49-F238E27FC236}">
              <a16:creationId xmlns:a16="http://schemas.microsoft.com/office/drawing/2014/main" id="{9F2200DC-918E-4B73-96A9-9FA1B3D6AA96}"/>
            </a:ext>
          </a:extLst>
        </xdr:cNvPr>
        <xdr:cNvSpPr/>
      </xdr:nvSpPr>
      <xdr:spPr>
        <a:xfrm>
          <a:off x="9413645" y="316491"/>
          <a:ext cx="395475" cy="387531"/>
        </a:xfrm>
        <a:prstGeom prst="rect">
          <a:avLst/>
        </a:prstGeom>
        <a:solidFill>
          <a:schemeClr val="tx1">
            <a:lumMod val="85000"/>
            <a:lumOff val="15000"/>
          </a:schemeClr>
        </a:solidFill>
        <a:ln w="571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a:t>1</a:t>
          </a:r>
        </a:p>
      </xdr:txBody>
    </xdr:sp>
    <xdr:clientData/>
  </xdr:twoCellAnchor>
  <xdr:twoCellAnchor>
    <xdr:from>
      <xdr:col>34</xdr:col>
      <xdr:colOff>312250</xdr:colOff>
      <xdr:row>1</xdr:row>
      <xdr:rowOff>140776</xdr:rowOff>
    </xdr:from>
    <xdr:to>
      <xdr:col>38</xdr:col>
      <xdr:colOff>337704</xdr:colOff>
      <xdr:row>8</xdr:row>
      <xdr:rowOff>69273</xdr:rowOff>
    </xdr:to>
    <xdr:sp macro="" textlink="">
      <xdr:nvSpPr>
        <xdr:cNvPr id="12407" name="Metin kutusu 12406">
          <a:extLst>
            <a:ext uri="{FF2B5EF4-FFF2-40B4-BE49-F238E27FC236}">
              <a16:creationId xmlns:a16="http://schemas.microsoft.com/office/drawing/2014/main" id="{CB48A03A-E94A-470B-802D-AF508B47314B}"/>
            </a:ext>
          </a:extLst>
        </xdr:cNvPr>
        <xdr:cNvSpPr txBox="1"/>
      </xdr:nvSpPr>
      <xdr:spPr>
        <a:xfrm>
          <a:off x="21094068" y="322618"/>
          <a:ext cx="2519272" cy="12013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tr-TR" sz="3200"/>
            <a:t>Ankara Test Network</a:t>
          </a:r>
          <a:endParaRPr lang="en-GB" sz="3200"/>
        </a:p>
      </xdr:txBody>
    </xdr:sp>
    <xdr:clientData/>
  </xdr:twoCellAnchor>
  <xdr:twoCellAnchor>
    <xdr:from>
      <xdr:col>33</xdr:col>
      <xdr:colOff>34618</xdr:colOff>
      <xdr:row>42</xdr:row>
      <xdr:rowOff>95251</xdr:rowOff>
    </xdr:from>
    <xdr:to>
      <xdr:col>38</xdr:col>
      <xdr:colOff>157346</xdr:colOff>
      <xdr:row>52</xdr:row>
      <xdr:rowOff>76842</xdr:rowOff>
    </xdr:to>
    <xdr:pic>
      <xdr:nvPicPr>
        <xdr:cNvPr id="12409" name="LegendCapacity">
          <a:extLst>
            <a:ext uri="{FF2B5EF4-FFF2-40B4-BE49-F238E27FC236}">
              <a16:creationId xmlns:a16="http://schemas.microsoft.com/office/drawing/2014/main" id="{32A34CC1-4698-4A06-B0E2-8F35E9CA70E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0192982" y="7732569"/>
          <a:ext cx="3240000" cy="1800000"/>
        </a:xfrm>
        <a:prstGeom prst="rect">
          <a:avLst/>
        </a:prstGeom>
      </xdr:spPr>
    </xdr:pic>
    <xdr:clientData/>
  </xdr:twoCellAnchor>
  <xdr:twoCellAnchor>
    <xdr:from>
      <xdr:col>33</xdr:col>
      <xdr:colOff>30950</xdr:colOff>
      <xdr:row>42</xdr:row>
      <xdr:rowOff>94332</xdr:rowOff>
    </xdr:from>
    <xdr:to>
      <xdr:col>38</xdr:col>
      <xdr:colOff>153678</xdr:colOff>
      <xdr:row>52</xdr:row>
      <xdr:rowOff>75923</xdr:rowOff>
    </xdr:to>
    <xdr:pic>
      <xdr:nvPicPr>
        <xdr:cNvPr id="12411" name="LegendVolume">
          <a:extLst>
            <a:ext uri="{FF2B5EF4-FFF2-40B4-BE49-F238E27FC236}">
              <a16:creationId xmlns:a16="http://schemas.microsoft.com/office/drawing/2014/main" id="{ADC2142A-1C55-4684-8D5B-A74E8FF8616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0189314" y="7731650"/>
          <a:ext cx="3240000" cy="1800000"/>
        </a:xfrm>
        <a:prstGeom prst="rect">
          <a:avLst/>
        </a:prstGeom>
      </xdr:spPr>
    </xdr:pic>
    <xdr:clientData/>
  </xdr:twoCellAnchor>
  <xdr:twoCellAnchor>
    <xdr:from>
      <xdr:col>33</xdr:col>
      <xdr:colOff>34618</xdr:colOff>
      <xdr:row>42</xdr:row>
      <xdr:rowOff>95250</xdr:rowOff>
    </xdr:from>
    <xdr:to>
      <xdr:col>38</xdr:col>
      <xdr:colOff>157346</xdr:colOff>
      <xdr:row>52</xdr:row>
      <xdr:rowOff>76841</xdr:rowOff>
    </xdr:to>
    <xdr:pic>
      <xdr:nvPicPr>
        <xdr:cNvPr id="12408" name="LegendUsage">
          <a:extLst>
            <a:ext uri="{FF2B5EF4-FFF2-40B4-BE49-F238E27FC236}">
              <a16:creationId xmlns:a16="http://schemas.microsoft.com/office/drawing/2014/main" id="{DA530918-5706-4780-8358-E392E2AFDB8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0192982" y="7732568"/>
          <a:ext cx="3240000" cy="1800000"/>
        </a:xfrm>
        <a:prstGeom prst="rect">
          <a:avLst/>
        </a:prstGeom>
      </xdr:spPr>
    </xdr:pic>
    <xdr:clientData/>
  </xdr:twoCellAnchor>
  <xdr:twoCellAnchor>
    <xdr:from>
      <xdr:col>33</xdr:col>
      <xdr:colOff>30949</xdr:colOff>
      <xdr:row>42</xdr:row>
      <xdr:rowOff>94333</xdr:rowOff>
    </xdr:from>
    <xdr:to>
      <xdr:col>38</xdr:col>
      <xdr:colOff>153677</xdr:colOff>
      <xdr:row>52</xdr:row>
      <xdr:rowOff>74374</xdr:rowOff>
    </xdr:to>
    <xdr:pic>
      <xdr:nvPicPr>
        <xdr:cNvPr id="12410" name="LegendDefault">
          <a:extLst>
            <a:ext uri="{FF2B5EF4-FFF2-40B4-BE49-F238E27FC236}">
              <a16:creationId xmlns:a16="http://schemas.microsoft.com/office/drawing/2014/main" id="{C0C20FEB-C89E-458D-9F8A-849D40D24BBC}"/>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0189313" y="7731651"/>
          <a:ext cx="3240000" cy="1798450"/>
        </a:xfrm>
        <a:prstGeom prst="rect">
          <a:avLst/>
        </a:prstGeom>
      </xdr:spPr>
    </xdr:pic>
    <xdr:clientData/>
  </xdr:twoCellAnchor>
</xdr:wsDr>
</file>

<file path=xl/theme/theme1.xml><?xml version="1.0" encoding="utf-8"?>
<a:theme xmlns:a="http://schemas.openxmlformats.org/drawingml/2006/main" name="Office Teması">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1.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trlProp" Target="../ctrlProps/ctrlProp1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7.vml"/><Relationship Id="rId1" Type="http://schemas.openxmlformats.org/officeDocument/2006/relationships/drawing" Target="../drawings/drawing8.xml"/><Relationship Id="rId4" Type="http://schemas.openxmlformats.org/officeDocument/2006/relationships/ctrlProp" Target="../ctrlProps/ctrlProp15.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8.vml"/><Relationship Id="rId1" Type="http://schemas.openxmlformats.org/officeDocument/2006/relationships/drawing" Target="../drawings/drawing9.xml"/><Relationship Id="rId4" Type="http://schemas.openxmlformats.org/officeDocument/2006/relationships/ctrlProp" Target="../ctrlProps/ctrlProp17.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9.vml"/><Relationship Id="rId1" Type="http://schemas.openxmlformats.org/officeDocument/2006/relationships/drawing" Target="../drawings/drawing10.xml"/><Relationship Id="rId4" Type="http://schemas.openxmlformats.org/officeDocument/2006/relationships/ctrlProp" Target="../ctrlProps/ctrlProp1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0.vml"/><Relationship Id="rId1" Type="http://schemas.openxmlformats.org/officeDocument/2006/relationships/drawing" Target="../drawings/drawing11.xml"/><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2A88-DCE4-4821-887A-C216F1B3CE02}">
  <sheetPr codeName="Info"/>
  <dimension ref="A1:M187"/>
  <sheetViews>
    <sheetView tabSelected="1" zoomScale="70" zoomScaleNormal="70" workbookViewId="0">
      <selection activeCell="N4" sqref="N4"/>
    </sheetView>
  </sheetViews>
  <sheetFormatPr defaultColWidth="8.73046875" defaultRowHeight="14.25" x14ac:dyDescent="0.45"/>
  <cols>
    <col min="1" max="1" width="10.1328125" style="1" customWidth="1"/>
    <col min="2" max="2" width="11.1328125" style="1" bestFit="1" customWidth="1"/>
    <col min="3" max="3" width="73.46484375" style="1" bestFit="1" customWidth="1"/>
    <col min="4" max="4" width="8.73046875" style="1"/>
    <col min="5" max="5" width="11.86328125" style="1" bestFit="1" customWidth="1"/>
    <col min="6" max="6" width="8.73046875" style="1"/>
    <col min="7" max="7" width="10.796875" style="1" bestFit="1" customWidth="1"/>
    <col min="8" max="8" width="6.33203125" style="1" bestFit="1" customWidth="1"/>
    <col min="9" max="9" width="7.796875" style="1" bestFit="1" customWidth="1"/>
    <col min="10" max="10" width="8.73046875" style="1"/>
    <col min="11" max="11" width="9.6640625" style="1" bestFit="1" customWidth="1"/>
    <col min="12" max="12" width="8.59765625" style="1" customWidth="1"/>
    <col min="13" max="13" width="10" style="1" bestFit="1" customWidth="1"/>
    <col min="14" max="16384" width="8.73046875" style="1"/>
  </cols>
  <sheetData>
    <row r="1" spans="1:13" ht="14.25" customHeight="1" x14ac:dyDescent="0.45">
      <c r="A1" s="19" t="s">
        <v>0</v>
      </c>
      <c r="B1" s="19"/>
      <c r="C1" s="20" t="s">
        <v>405</v>
      </c>
      <c r="D1" s="20"/>
      <c r="E1" s="20"/>
      <c r="F1" s="20"/>
      <c r="G1" s="20"/>
      <c r="H1" s="20"/>
      <c r="I1" s="20"/>
      <c r="J1" s="20"/>
      <c r="K1" s="20"/>
      <c r="L1" s="21"/>
      <c r="M1" s="21"/>
    </row>
    <row r="2" spans="1:13" ht="14.25" customHeight="1" x14ac:dyDescent="0.45">
      <c r="A2" s="19"/>
      <c r="B2" s="19"/>
      <c r="C2" s="20"/>
      <c r="D2" s="20"/>
      <c r="E2" s="20"/>
      <c r="F2" s="20"/>
      <c r="G2" s="20"/>
      <c r="H2" s="20"/>
      <c r="I2" s="20"/>
      <c r="J2" s="20"/>
      <c r="K2" s="20"/>
      <c r="L2" s="21"/>
      <c r="M2" s="21"/>
    </row>
    <row r="3" spans="1:13" ht="14.25" customHeight="1" x14ac:dyDescent="0.45">
      <c r="A3" s="19"/>
      <c r="B3" s="19"/>
      <c r="C3" s="20"/>
      <c r="D3" s="20"/>
      <c r="E3" s="20"/>
      <c r="F3" s="20"/>
      <c r="G3" s="20"/>
      <c r="H3" s="20"/>
      <c r="I3" s="20"/>
      <c r="J3" s="20"/>
      <c r="K3" s="20"/>
      <c r="L3" s="21"/>
      <c r="M3" s="21"/>
    </row>
    <row r="4" spans="1:13" ht="14.25" customHeight="1" x14ac:dyDescent="0.45">
      <c r="A4" s="19"/>
      <c r="B4" s="19"/>
      <c r="C4" s="20"/>
      <c r="D4" s="20"/>
      <c r="E4" s="20"/>
      <c r="F4" s="20"/>
      <c r="G4" s="20"/>
      <c r="H4" s="20"/>
      <c r="I4" s="20"/>
      <c r="J4" s="20"/>
      <c r="K4" s="20"/>
      <c r="L4" s="21"/>
      <c r="M4" s="21"/>
    </row>
    <row r="5" spans="1:13" x14ac:dyDescent="0.45">
      <c r="M5" s="1">
        <v>8</v>
      </c>
    </row>
    <row r="6" spans="1:13" ht="14.25" customHeight="1" x14ac:dyDescent="0.45">
      <c r="A6" s="22" t="s">
        <v>406</v>
      </c>
      <c r="B6" s="23"/>
      <c r="C6" s="23"/>
      <c r="D6" s="23"/>
      <c r="E6" s="23"/>
      <c r="F6" s="23"/>
      <c r="G6" s="23"/>
      <c r="H6" s="23"/>
      <c r="I6" s="23"/>
      <c r="J6" s="23"/>
      <c r="K6" s="23"/>
      <c r="L6" s="23"/>
      <c r="M6" s="23"/>
    </row>
    <row r="7" spans="1:13" x14ac:dyDescent="0.45">
      <c r="A7" s="23"/>
      <c r="B7" s="23"/>
      <c r="C7" s="23"/>
      <c r="D7" s="23"/>
      <c r="E7" s="23"/>
      <c r="F7" s="23"/>
      <c r="G7" s="23"/>
      <c r="H7" s="23"/>
      <c r="I7" s="23"/>
      <c r="J7" s="23"/>
      <c r="K7" s="23"/>
      <c r="L7" s="23"/>
      <c r="M7" s="23"/>
    </row>
    <row r="8" spans="1:13" x14ac:dyDescent="0.45">
      <c r="A8" s="23"/>
      <c r="B8" s="23"/>
      <c r="C8" s="23"/>
      <c r="D8" s="23"/>
      <c r="E8" s="23"/>
      <c r="F8" s="23"/>
      <c r="G8" s="23"/>
      <c r="H8" s="23"/>
      <c r="I8" s="23"/>
      <c r="J8" s="23"/>
      <c r="K8" s="23"/>
      <c r="L8" s="23"/>
      <c r="M8" s="23"/>
    </row>
    <row r="9" spans="1:13" x14ac:dyDescent="0.45">
      <c r="A9" s="23"/>
      <c r="B9" s="23"/>
      <c r="C9" s="23"/>
      <c r="D9" s="23"/>
      <c r="E9" s="23"/>
      <c r="F9" s="23"/>
      <c r="G9" s="23"/>
      <c r="H9" s="23"/>
      <c r="I9" s="23"/>
      <c r="J9" s="23"/>
      <c r="K9" s="23"/>
      <c r="L9" s="23"/>
      <c r="M9" s="23"/>
    </row>
    <row r="10" spans="1:13" x14ac:dyDescent="0.45">
      <c r="A10" s="23"/>
      <c r="B10" s="23"/>
      <c r="C10" s="23"/>
      <c r="D10" s="23"/>
      <c r="E10" s="23"/>
      <c r="F10" s="23"/>
      <c r="G10" s="23"/>
      <c r="H10" s="23"/>
      <c r="I10" s="23"/>
      <c r="J10" s="23"/>
      <c r="K10" s="23"/>
      <c r="L10" s="23"/>
      <c r="M10" s="23"/>
    </row>
    <row r="11" spans="1:13" x14ac:dyDescent="0.45">
      <c r="A11" s="23"/>
      <c r="B11" s="23"/>
      <c r="C11" s="23"/>
      <c r="D11" s="23"/>
      <c r="E11" s="23"/>
      <c r="F11" s="23"/>
      <c r="G11" s="23"/>
      <c r="H11" s="23"/>
      <c r="I11" s="23"/>
      <c r="J11" s="23"/>
      <c r="K11" s="23"/>
      <c r="L11" s="23"/>
      <c r="M11" s="23"/>
    </row>
    <row r="12" spans="1:13" x14ac:dyDescent="0.45">
      <c r="A12" s="23"/>
      <c r="B12" s="23"/>
      <c r="C12" s="23"/>
      <c r="D12" s="23"/>
      <c r="E12" s="23"/>
      <c r="F12" s="23"/>
      <c r="G12" s="23"/>
      <c r="H12" s="23"/>
      <c r="I12" s="23"/>
      <c r="J12" s="23"/>
      <c r="K12" s="23"/>
      <c r="L12" s="23"/>
      <c r="M12" s="23"/>
    </row>
    <row r="13" spans="1:13" x14ac:dyDescent="0.45">
      <c r="A13" s="23"/>
      <c r="B13" s="23"/>
      <c r="C13" s="23"/>
      <c r="D13" s="23"/>
      <c r="E13" s="23"/>
      <c r="F13" s="23"/>
      <c r="G13" s="23"/>
      <c r="H13" s="23"/>
      <c r="I13" s="23"/>
      <c r="J13" s="23"/>
      <c r="K13" s="23"/>
      <c r="L13" s="23"/>
      <c r="M13" s="23"/>
    </row>
    <row r="14" spans="1:13" x14ac:dyDescent="0.45">
      <c r="A14" s="23"/>
      <c r="B14" s="23"/>
      <c r="C14" s="23"/>
      <c r="D14" s="23"/>
      <c r="E14" s="23"/>
      <c r="F14" s="23"/>
      <c r="G14" s="23"/>
      <c r="H14" s="23"/>
      <c r="I14" s="23"/>
      <c r="J14" s="23"/>
      <c r="K14" s="23"/>
      <c r="L14" s="23"/>
      <c r="M14" s="23"/>
    </row>
    <row r="15" spans="1:13" x14ac:dyDescent="0.45">
      <c r="A15" s="23"/>
      <c r="B15" s="23"/>
      <c r="C15" s="23"/>
      <c r="D15" s="23"/>
      <c r="E15" s="23"/>
      <c r="F15" s="23"/>
      <c r="G15" s="23"/>
      <c r="H15" s="23"/>
      <c r="I15" s="23"/>
      <c r="J15" s="23"/>
      <c r="K15" s="23"/>
      <c r="L15" s="23"/>
      <c r="M15" s="23"/>
    </row>
    <row r="16" spans="1:13" x14ac:dyDescent="0.45">
      <c r="A16" s="23"/>
      <c r="B16" s="23"/>
      <c r="C16" s="23"/>
      <c r="D16" s="23"/>
      <c r="E16" s="23"/>
      <c r="F16" s="23"/>
      <c r="G16" s="23"/>
      <c r="H16" s="23"/>
      <c r="I16" s="23"/>
      <c r="J16" s="23"/>
      <c r="K16" s="23"/>
      <c r="L16" s="23"/>
      <c r="M16" s="23"/>
    </row>
    <row r="17" spans="1:13" x14ac:dyDescent="0.45">
      <c r="A17" s="23"/>
      <c r="B17" s="23"/>
      <c r="C17" s="23"/>
      <c r="D17" s="23"/>
      <c r="E17" s="23"/>
      <c r="F17" s="23"/>
      <c r="G17" s="23"/>
      <c r="H17" s="23"/>
      <c r="I17" s="23"/>
      <c r="J17" s="23"/>
      <c r="K17" s="23"/>
      <c r="L17" s="23"/>
      <c r="M17" s="23"/>
    </row>
    <row r="18" spans="1:13" x14ac:dyDescent="0.45">
      <c r="A18" s="23"/>
      <c r="B18" s="23"/>
      <c r="C18" s="23"/>
      <c r="D18" s="23"/>
      <c r="E18" s="23"/>
      <c r="F18" s="23"/>
      <c r="G18" s="23"/>
      <c r="H18" s="23"/>
      <c r="I18" s="23"/>
      <c r="J18" s="23"/>
      <c r="K18" s="23"/>
      <c r="L18" s="23"/>
      <c r="M18" s="23"/>
    </row>
    <row r="19" spans="1:13" x14ac:dyDescent="0.45">
      <c r="A19" s="23"/>
      <c r="B19" s="23"/>
      <c r="C19" s="23"/>
      <c r="D19" s="23"/>
      <c r="E19" s="23"/>
      <c r="F19" s="23"/>
      <c r="G19" s="23"/>
      <c r="H19" s="23"/>
      <c r="I19" s="23"/>
      <c r="J19" s="23"/>
      <c r="K19" s="23"/>
      <c r="L19" s="23"/>
      <c r="M19" s="23"/>
    </row>
    <row r="20" spans="1:13" x14ac:dyDescent="0.45">
      <c r="A20" s="23"/>
      <c r="B20" s="23"/>
      <c r="C20" s="23"/>
      <c r="D20" s="23"/>
      <c r="E20" s="23"/>
      <c r="F20" s="23"/>
      <c r="G20" s="23"/>
      <c r="H20" s="23"/>
      <c r="I20" s="23"/>
      <c r="J20" s="23"/>
      <c r="K20" s="23"/>
      <c r="L20" s="23"/>
      <c r="M20" s="23"/>
    </row>
    <row r="21" spans="1:13" x14ac:dyDescent="0.45">
      <c r="A21" s="23"/>
      <c r="B21" s="23"/>
      <c r="C21" s="23"/>
      <c r="D21" s="23"/>
      <c r="E21" s="23"/>
      <c r="F21" s="23"/>
      <c r="G21" s="23"/>
      <c r="H21" s="23"/>
      <c r="I21" s="23"/>
      <c r="J21" s="23"/>
      <c r="K21" s="23"/>
      <c r="L21" s="23"/>
      <c r="M21" s="23"/>
    </row>
    <row r="22" spans="1:13" x14ac:dyDescent="0.45">
      <c r="A22" s="23"/>
      <c r="B22" s="23"/>
      <c r="C22" s="23"/>
      <c r="D22" s="23"/>
      <c r="E22" s="23"/>
      <c r="F22" s="23"/>
      <c r="G22" s="23"/>
      <c r="H22" s="23"/>
      <c r="I22" s="23"/>
      <c r="J22" s="23"/>
      <c r="K22" s="23"/>
      <c r="L22" s="23"/>
      <c r="M22" s="23"/>
    </row>
    <row r="23" spans="1:13" x14ac:dyDescent="0.45">
      <c r="A23" s="23"/>
      <c r="B23" s="23"/>
      <c r="C23" s="23"/>
      <c r="D23" s="23"/>
      <c r="E23" s="23"/>
      <c r="F23" s="23"/>
      <c r="G23" s="23"/>
      <c r="H23" s="23"/>
      <c r="I23" s="23"/>
      <c r="J23" s="23"/>
      <c r="K23" s="23"/>
      <c r="L23" s="23"/>
      <c r="M23" s="23"/>
    </row>
    <row r="24" spans="1:13" x14ac:dyDescent="0.45">
      <c r="A24" s="23"/>
      <c r="B24" s="23"/>
      <c r="C24" s="23"/>
      <c r="D24" s="23"/>
      <c r="E24" s="23"/>
      <c r="F24" s="23"/>
      <c r="G24" s="23"/>
      <c r="H24" s="23"/>
      <c r="I24" s="23"/>
      <c r="J24" s="23"/>
      <c r="K24" s="23"/>
      <c r="L24" s="23"/>
      <c r="M24" s="23"/>
    </row>
    <row r="25" spans="1:13" x14ac:dyDescent="0.45">
      <c r="A25" s="23"/>
      <c r="B25" s="23"/>
      <c r="C25" s="23"/>
      <c r="D25" s="23"/>
      <c r="E25" s="23"/>
      <c r="F25" s="23"/>
      <c r="G25" s="23"/>
      <c r="H25" s="23"/>
      <c r="I25" s="23"/>
      <c r="J25" s="23"/>
      <c r="K25" s="23"/>
      <c r="L25" s="23"/>
      <c r="M25" s="23"/>
    </row>
    <row r="26" spans="1:13" x14ac:dyDescent="0.45">
      <c r="A26" s="23"/>
      <c r="B26" s="23"/>
      <c r="C26" s="23"/>
      <c r="D26" s="23"/>
      <c r="E26" s="23"/>
      <c r="F26" s="23"/>
      <c r="G26" s="23"/>
      <c r="H26" s="23"/>
      <c r="I26" s="23"/>
      <c r="J26" s="23"/>
      <c r="K26" s="23"/>
      <c r="L26" s="23"/>
      <c r="M26" s="23"/>
    </row>
    <row r="27" spans="1:13" x14ac:dyDescent="0.45">
      <c r="A27" s="23"/>
      <c r="B27" s="23"/>
      <c r="C27" s="23"/>
      <c r="D27" s="23"/>
      <c r="E27" s="23"/>
      <c r="F27" s="23"/>
      <c r="G27" s="23"/>
      <c r="H27" s="23"/>
      <c r="I27" s="23"/>
      <c r="J27" s="23"/>
      <c r="K27" s="23"/>
      <c r="L27" s="23"/>
      <c r="M27" s="23"/>
    </row>
    <row r="28" spans="1:13" x14ac:dyDescent="0.45">
      <c r="A28" s="23"/>
      <c r="B28" s="23"/>
      <c r="C28" s="23"/>
      <c r="D28" s="23"/>
      <c r="E28" s="23"/>
      <c r="F28" s="23"/>
      <c r="G28" s="23"/>
      <c r="H28" s="23"/>
      <c r="I28" s="23"/>
      <c r="J28" s="23"/>
      <c r="K28" s="23"/>
      <c r="L28" s="23"/>
      <c r="M28" s="23"/>
    </row>
    <row r="29" spans="1:13" x14ac:dyDescent="0.45">
      <c r="A29" s="23"/>
      <c r="B29" s="23"/>
      <c r="C29" s="23"/>
      <c r="D29" s="23"/>
      <c r="E29" s="23"/>
      <c r="F29" s="23"/>
      <c r="G29" s="23"/>
      <c r="H29" s="23"/>
      <c r="I29" s="23"/>
      <c r="J29" s="23"/>
      <c r="K29" s="23"/>
      <c r="L29" s="23"/>
      <c r="M29" s="23"/>
    </row>
    <row r="30" spans="1:13" x14ac:dyDescent="0.45">
      <c r="A30" s="23"/>
      <c r="B30" s="23"/>
      <c r="C30" s="23"/>
      <c r="D30" s="23"/>
      <c r="E30" s="23"/>
      <c r="F30" s="23"/>
      <c r="G30" s="23"/>
      <c r="H30" s="23"/>
      <c r="I30" s="23"/>
      <c r="J30" s="23"/>
      <c r="K30" s="23"/>
      <c r="L30" s="23"/>
      <c r="M30" s="23"/>
    </row>
    <row r="31" spans="1:13" x14ac:dyDescent="0.45">
      <c r="A31" s="23"/>
      <c r="B31" s="23"/>
      <c r="C31" s="23"/>
      <c r="D31" s="23"/>
      <c r="E31" s="23"/>
      <c r="F31" s="23"/>
      <c r="G31" s="23"/>
      <c r="H31" s="23"/>
      <c r="I31" s="23"/>
      <c r="J31" s="23"/>
      <c r="K31" s="23"/>
      <c r="L31" s="23"/>
      <c r="M31" s="23"/>
    </row>
    <row r="32" spans="1:13" x14ac:dyDescent="0.45">
      <c r="A32" s="23"/>
      <c r="B32" s="23"/>
      <c r="C32" s="23"/>
      <c r="D32" s="23"/>
      <c r="E32" s="23"/>
      <c r="F32" s="23"/>
      <c r="G32" s="23"/>
      <c r="H32" s="23"/>
      <c r="I32" s="23"/>
      <c r="J32" s="23"/>
      <c r="K32" s="23"/>
      <c r="L32" s="23"/>
      <c r="M32" s="23"/>
    </row>
    <row r="33" spans="1:13" x14ac:dyDescent="0.45">
      <c r="A33" s="23"/>
      <c r="B33" s="23"/>
      <c r="C33" s="23"/>
      <c r="D33" s="23"/>
      <c r="E33" s="23"/>
      <c r="F33" s="23"/>
      <c r="G33" s="23"/>
      <c r="H33" s="23"/>
      <c r="I33" s="23"/>
      <c r="J33" s="23"/>
      <c r="K33" s="23"/>
      <c r="L33" s="23"/>
      <c r="M33" s="23"/>
    </row>
    <row r="34" spans="1:13" x14ac:dyDescent="0.45">
      <c r="A34" s="23"/>
      <c r="B34" s="23"/>
      <c r="C34" s="23"/>
      <c r="D34" s="23"/>
      <c r="E34" s="23"/>
      <c r="F34" s="23"/>
      <c r="G34" s="23"/>
      <c r="H34" s="23"/>
      <c r="I34" s="23"/>
      <c r="J34" s="23"/>
      <c r="K34" s="23"/>
      <c r="L34" s="23"/>
      <c r="M34" s="23"/>
    </row>
    <row r="35" spans="1:13" x14ac:dyDescent="0.45">
      <c r="A35" s="23"/>
      <c r="B35" s="23"/>
      <c r="C35" s="23"/>
      <c r="D35" s="23"/>
      <c r="E35" s="23"/>
      <c r="F35" s="23"/>
      <c r="G35" s="23"/>
      <c r="H35" s="23"/>
      <c r="I35" s="23"/>
      <c r="J35" s="23"/>
      <c r="K35" s="23"/>
      <c r="L35" s="23"/>
      <c r="M35" s="23"/>
    </row>
    <row r="36" spans="1:13" x14ac:dyDescent="0.45">
      <c r="A36" s="23"/>
      <c r="B36" s="23"/>
      <c r="C36" s="23"/>
      <c r="D36" s="23"/>
      <c r="E36" s="23"/>
      <c r="F36" s="23"/>
      <c r="G36" s="23"/>
      <c r="H36" s="23"/>
      <c r="I36" s="23"/>
      <c r="J36" s="23"/>
      <c r="K36" s="23"/>
      <c r="L36" s="23"/>
      <c r="M36" s="23"/>
    </row>
    <row r="37" spans="1:13" x14ac:dyDescent="0.45">
      <c r="A37" s="23"/>
      <c r="B37" s="23"/>
      <c r="C37" s="23"/>
      <c r="D37" s="23"/>
      <c r="E37" s="23"/>
      <c r="F37" s="23"/>
      <c r="G37" s="23"/>
      <c r="H37" s="23"/>
      <c r="I37" s="23"/>
      <c r="J37" s="23"/>
      <c r="K37" s="23"/>
      <c r="L37" s="23"/>
      <c r="M37" s="23"/>
    </row>
    <row r="38" spans="1:13" x14ac:dyDescent="0.45">
      <c r="A38" s="23"/>
      <c r="B38" s="23"/>
      <c r="C38" s="23"/>
      <c r="D38" s="23"/>
      <c r="E38" s="23"/>
      <c r="F38" s="23"/>
      <c r="G38" s="23"/>
      <c r="H38" s="23"/>
      <c r="I38" s="23"/>
      <c r="J38" s="23"/>
      <c r="K38" s="23"/>
      <c r="L38" s="23"/>
      <c r="M38" s="23"/>
    </row>
    <row r="40" spans="1:13" x14ac:dyDescent="0.45">
      <c r="A40" s="24" t="s">
        <v>1</v>
      </c>
      <c r="B40" s="24"/>
      <c r="C40" s="24"/>
      <c r="E40" s="24" t="s">
        <v>2</v>
      </c>
      <c r="F40" s="24"/>
      <c r="G40" s="24"/>
      <c r="H40" s="24"/>
      <c r="I40" s="24"/>
      <c r="J40" s="24"/>
      <c r="K40" s="24"/>
      <c r="L40" s="24"/>
      <c r="M40" s="24"/>
    </row>
    <row r="41" spans="1:13" x14ac:dyDescent="0.45">
      <c r="A41" s="24"/>
      <c r="B41" s="24"/>
      <c r="C41" s="24"/>
      <c r="E41" s="24"/>
      <c r="F41" s="24"/>
      <c r="G41" s="24"/>
      <c r="H41" s="24"/>
      <c r="I41" s="24"/>
      <c r="J41" s="24"/>
      <c r="K41" s="24"/>
      <c r="L41" s="24"/>
      <c r="M41" s="24"/>
    </row>
    <row r="42" spans="1:13" x14ac:dyDescent="0.45">
      <c r="A42" s="2" t="s">
        <v>3</v>
      </c>
      <c r="B42" s="2" t="s">
        <v>4</v>
      </c>
      <c r="C42" s="2" t="s">
        <v>5</v>
      </c>
      <c r="E42" s="2" t="s">
        <v>6</v>
      </c>
      <c r="G42" s="2" t="s">
        <v>7</v>
      </c>
      <c r="H42" s="2" t="s">
        <v>8</v>
      </c>
      <c r="I42" s="2" t="s">
        <v>9</v>
      </c>
      <c r="K42" s="2" t="s">
        <v>10</v>
      </c>
      <c r="M42" s="2" t="s">
        <v>11</v>
      </c>
    </row>
    <row r="43" spans="1:13" x14ac:dyDescent="0.45">
      <c r="A43" s="1" t="s">
        <v>12</v>
      </c>
      <c r="B43" s="1" t="s">
        <v>12</v>
      </c>
      <c r="C43" s="1" t="s">
        <v>13</v>
      </c>
      <c r="E43" s="1" t="s">
        <v>14</v>
      </c>
      <c r="G43" s="3" t="s">
        <v>15</v>
      </c>
      <c r="H43" s="1">
        <v>4000</v>
      </c>
      <c r="I43" s="1">
        <v>120</v>
      </c>
      <c r="K43" s="1" t="s">
        <v>16</v>
      </c>
      <c r="M43" s="1" t="s">
        <v>17</v>
      </c>
    </row>
    <row r="44" spans="1:13" x14ac:dyDescent="0.45">
      <c r="A44" s="1" t="s">
        <v>12</v>
      </c>
      <c r="B44" s="1" t="s">
        <v>6</v>
      </c>
      <c r="C44" s="1" t="s">
        <v>18</v>
      </c>
      <c r="E44" s="1" t="s">
        <v>19</v>
      </c>
      <c r="G44" s="3" t="s">
        <v>20</v>
      </c>
      <c r="H44" s="1">
        <v>3500</v>
      </c>
      <c r="I44" s="1">
        <v>110</v>
      </c>
      <c r="K44" s="1" t="s">
        <v>21</v>
      </c>
      <c r="M44" s="1" t="s">
        <v>22</v>
      </c>
    </row>
    <row r="45" spans="1:13" x14ac:dyDescent="0.45">
      <c r="A45" s="1" t="s">
        <v>12</v>
      </c>
      <c r="B45" s="1" t="s">
        <v>23</v>
      </c>
      <c r="C45" s="1" t="s">
        <v>24</v>
      </c>
      <c r="E45" s="1" t="s">
        <v>25</v>
      </c>
      <c r="G45" s="3" t="s">
        <v>26</v>
      </c>
      <c r="H45" s="1">
        <v>3000</v>
      </c>
      <c r="I45" s="1">
        <v>90</v>
      </c>
      <c r="K45" s="1" t="s">
        <v>27</v>
      </c>
      <c r="M45" s="1" t="s">
        <v>28</v>
      </c>
    </row>
    <row r="46" spans="1:13" x14ac:dyDescent="0.45">
      <c r="A46" s="1" t="s">
        <v>12</v>
      </c>
      <c r="B46" s="1" t="s">
        <v>8</v>
      </c>
      <c r="C46" s="1" t="s">
        <v>29</v>
      </c>
      <c r="E46" s="1" t="s">
        <v>30</v>
      </c>
      <c r="G46" s="3" t="s">
        <v>31</v>
      </c>
      <c r="H46" s="1">
        <v>2000</v>
      </c>
      <c r="I46" s="1">
        <v>70</v>
      </c>
      <c r="K46" s="1" t="s">
        <v>32</v>
      </c>
      <c r="M46" s="1" t="s">
        <v>33</v>
      </c>
    </row>
    <row r="47" spans="1:13" x14ac:dyDescent="0.45">
      <c r="A47" s="1" t="s">
        <v>12</v>
      </c>
      <c r="B47" s="1" t="s">
        <v>9</v>
      </c>
      <c r="C47" s="1" t="s">
        <v>34</v>
      </c>
      <c r="E47" s="1" t="s">
        <v>35</v>
      </c>
      <c r="K47" s="1" t="s">
        <v>36</v>
      </c>
    </row>
    <row r="48" spans="1:13" x14ac:dyDescent="0.45">
      <c r="A48" s="1" t="s">
        <v>12</v>
      </c>
      <c r="B48" s="1" t="s">
        <v>10</v>
      </c>
      <c r="C48" s="1" t="s">
        <v>37</v>
      </c>
      <c r="E48" s="1" t="s">
        <v>38</v>
      </c>
      <c r="K48" s="1" t="s">
        <v>39</v>
      </c>
    </row>
    <row r="49" spans="1:11" x14ac:dyDescent="0.45">
      <c r="A49" s="1" t="s">
        <v>40</v>
      </c>
      <c r="B49" s="1" t="s">
        <v>40</v>
      </c>
      <c r="C49" s="1" t="s">
        <v>41</v>
      </c>
      <c r="E49" s="1" t="s">
        <v>42</v>
      </c>
      <c r="K49" s="1" t="s">
        <v>43</v>
      </c>
    </row>
    <row r="50" spans="1:11" x14ac:dyDescent="0.45">
      <c r="A50" s="1" t="s">
        <v>40</v>
      </c>
      <c r="B50" s="1" t="s">
        <v>44</v>
      </c>
      <c r="C50" s="1" t="s">
        <v>45</v>
      </c>
      <c r="E50" s="1" t="s">
        <v>46</v>
      </c>
      <c r="K50" s="1" t="s">
        <v>47</v>
      </c>
    </row>
    <row r="51" spans="1:11" x14ac:dyDescent="0.45">
      <c r="A51" s="1" t="s">
        <v>40</v>
      </c>
      <c r="B51" s="1" t="s">
        <v>48</v>
      </c>
      <c r="C51" s="1" t="s">
        <v>49</v>
      </c>
    </row>
    <row r="52" spans="1:11" x14ac:dyDescent="0.45">
      <c r="A52" s="1" t="s">
        <v>40</v>
      </c>
      <c r="B52" s="1" t="s">
        <v>50</v>
      </c>
      <c r="C52" s="1" t="s">
        <v>18</v>
      </c>
    </row>
    <row r="53" spans="1:11" x14ac:dyDescent="0.45">
      <c r="A53" s="1" t="s">
        <v>40</v>
      </c>
      <c r="B53" s="1" t="s">
        <v>51</v>
      </c>
      <c r="C53" s="1" t="s">
        <v>52</v>
      </c>
    </row>
    <row r="54" spans="1:11" x14ac:dyDescent="0.45">
      <c r="A54" s="1" t="s">
        <v>40</v>
      </c>
      <c r="B54" s="1" t="s">
        <v>53</v>
      </c>
      <c r="C54" s="1" t="s">
        <v>54</v>
      </c>
    </row>
    <row r="55" spans="1:11" x14ac:dyDescent="0.45">
      <c r="A55" s="1" t="s">
        <v>40</v>
      </c>
      <c r="B55" s="1" t="s">
        <v>55</v>
      </c>
      <c r="C55" s="1" t="s">
        <v>56</v>
      </c>
    </row>
    <row r="56" spans="1:11" x14ac:dyDescent="0.45">
      <c r="A56" s="1" t="s">
        <v>40</v>
      </c>
      <c r="B56" s="1" t="s">
        <v>57</v>
      </c>
      <c r="C56" s="1" t="s">
        <v>58</v>
      </c>
    </row>
    <row r="57" spans="1:11" x14ac:dyDescent="0.45">
      <c r="A57" s="1" t="s">
        <v>40</v>
      </c>
      <c r="B57" s="1" t="s">
        <v>59</v>
      </c>
      <c r="C57" s="1" t="s">
        <v>60</v>
      </c>
    </row>
    <row r="58" spans="1:11" x14ac:dyDescent="0.45">
      <c r="A58" s="1" t="s">
        <v>40</v>
      </c>
      <c r="B58" s="1" t="s">
        <v>61</v>
      </c>
      <c r="C58" s="1" t="s">
        <v>62</v>
      </c>
    </row>
    <row r="59" spans="1:11" x14ac:dyDescent="0.45">
      <c r="A59" s="1" t="s">
        <v>40</v>
      </c>
      <c r="B59" s="1" t="s">
        <v>63</v>
      </c>
      <c r="C59" s="1" t="s">
        <v>34</v>
      </c>
    </row>
    <row r="60" spans="1:11" x14ac:dyDescent="0.45">
      <c r="A60" s="1" t="s">
        <v>40</v>
      </c>
      <c r="B60" s="1" t="s">
        <v>64</v>
      </c>
      <c r="C60" s="1" t="s">
        <v>65</v>
      </c>
    </row>
    <row r="61" spans="1:11" x14ac:dyDescent="0.45">
      <c r="A61" s="1" t="s">
        <v>40</v>
      </c>
      <c r="B61" s="1" t="s">
        <v>66</v>
      </c>
      <c r="C61" s="1" t="s">
        <v>67</v>
      </c>
    </row>
    <row r="62" spans="1:11" x14ac:dyDescent="0.45">
      <c r="A62" s="1" t="s">
        <v>40</v>
      </c>
      <c r="B62" s="1" t="s">
        <v>68</v>
      </c>
      <c r="C62" s="1" t="s">
        <v>69</v>
      </c>
    </row>
    <row r="63" spans="1:11" x14ac:dyDescent="0.45">
      <c r="A63" s="1" t="s">
        <v>40</v>
      </c>
      <c r="B63" s="1" t="s">
        <v>70</v>
      </c>
      <c r="C63" s="1" t="s">
        <v>71</v>
      </c>
    </row>
    <row r="64" spans="1:11" x14ac:dyDescent="0.45">
      <c r="A64" s="1" t="s">
        <v>40</v>
      </c>
      <c r="B64" s="1" t="s">
        <v>72</v>
      </c>
      <c r="C64" s="1" t="s">
        <v>37</v>
      </c>
    </row>
    <row r="65" spans="1:3" x14ac:dyDescent="0.45">
      <c r="A65" s="1" t="s">
        <v>40</v>
      </c>
      <c r="B65" s="1" t="s">
        <v>73</v>
      </c>
      <c r="C65" s="1" t="s">
        <v>74</v>
      </c>
    </row>
    <row r="66" spans="1:3" x14ac:dyDescent="0.45">
      <c r="A66" s="1" t="s">
        <v>40</v>
      </c>
      <c r="B66" s="1" t="s">
        <v>75</v>
      </c>
      <c r="C66" s="1" t="s">
        <v>76</v>
      </c>
    </row>
    <row r="67" spans="1:3" x14ac:dyDescent="0.45">
      <c r="A67" s="1" t="s">
        <v>40</v>
      </c>
      <c r="B67" s="1" t="s">
        <v>77</v>
      </c>
      <c r="C67" s="1" t="s">
        <v>78</v>
      </c>
    </row>
    <row r="68" spans="1:3" x14ac:dyDescent="0.45">
      <c r="A68" s="1" t="s">
        <v>79</v>
      </c>
      <c r="B68" s="1" t="s">
        <v>79</v>
      </c>
      <c r="C68" s="1" t="s">
        <v>80</v>
      </c>
    </row>
    <row r="69" spans="1:3" x14ac:dyDescent="0.45">
      <c r="A69" s="1" t="s">
        <v>79</v>
      </c>
      <c r="B69" s="1" t="s">
        <v>81</v>
      </c>
      <c r="C69" s="1" t="s">
        <v>82</v>
      </c>
    </row>
    <row r="70" spans="1:3" x14ac:dyDescent="0.45">
      <c r="A70" s="1" t="s">
        <v>79</v>
      </c>
      <c r="B70" s="1" t="s">
        <v>83</v>
      </c>
      <c r="C70" s="1" t="s">
        <v>84</v>
      </c>
    </row>
    <row r="71" spans="1:3" x14ac:dyDescent="0.45">
      <c r="A71" s="1" t="s">
        <v>79</v>
      </c>
      <c r="B71" s="1" t="s">
        <v>85</v>
      </c>
      <c r="C71" s="1" t="s">
        <v>86</v>
      </c>
    </row>
    <row r="72" spans="1:3" x14ac:dyDescent="0.45">
      <c r="A72" s="1" t="s">
        <v>79</v>
      </c>
      <c r="B72" s="1" t="s">
        <v>87</v>
      </c>
      <c r="C72" s="1" t="s">
        <v>88</v>
      </c>
    </row>
    <row r="73" spans="1:3" x14ac:dyDescent="0.45">
      <c r="A73" s="1" t="s">
        <v>79</v>
      </c>
      <c r="B73" s="1" t="s">
        <v>89</v>
      </c>
      <c r="C73" s="1" t="s">
        <v>90</v>
      </c>
    </row>
    <row r="74" spans="1:3" x14ac:dyDescent="0.45">
      <c r="A74" s="1" t="s">
        <v>79</v>
      </c>
      <c r="B74" s="1" t="s">
        <v>91</v>
      </c>
      <c r="C74" s="1" t="s">
        <v>92</v>
      </c>
    </row>
    <row r="75" spans="1:3" x14ac:dyDescent="0.45">
      <c r="A75" s="1" t="s">
        <v>79</v>
      </c>
      <c r="B75" s="1" t="s">
        <v>93</v>
      </c>
      <c r="C75" s="1" t="s">
        <v>94</v>
      </c>
    </row>
    <row r="76" spans="1:3" x14ac:dyDescent="0.45">
      <c r="A76" s="1" t="s">
        <v>79</v>
      </c>
      <c r="B76" s="1" t="s">
        <v>95</v>
      </c>
      <c r="C76" s="1" t="s">
        <v>96</v>
      </c>
    </row>
    <row r="77" spans="1:3" x14ac:dyDescent="0.45">
      <c r="A77" s="1" t="s">
        <v>79</v>
      </c>
      <c r="B77" s="1" t="s">
        <v>97</v>
      </c>
      <c r="C77" s="1" t="s">
        <v>98</v>
      </c>
    </row>
    <row r="78" spans="1:3" x14ac:dyDescent="0.45">
      <c r="A78" s="1" t="s">
        <v>79</v>
      </c>
      <c r="B78" s="1" t="s">
        <v>99</v>
      </c>
      <c r="C78" s="1" t="s">
        <v>100</v>
      </c>
    </row>
    <row r="79" spans="1:3" x14ac:dyDescent="0.45">
      <c r="A79" s="1" t="s">
        <v>79</v>
      </c>
      <c r="B79" s="1" t="s">
        <v>101</v>
      </c>
      <c r="C79" s="1" t="s">
        <v>102</v>
      </c>
    </row>
    <row r="80" spans="1:3" x14ac:dyDescent="0.45">
      <c r="A80" s="1" t="s">
        <v>103</v>
      </c>
      <c r="B80" s="1" t="s">
        <v>103</v>
      </c>
      <c r="C80" s="1" t="s">
        <v>104</v>
      </c>
    </row>
    <row r="81" spans="1:3" x14ac:dyDescent="0.45">
      <c r="A81" s="1" t="s">
        <v>103</v>
      </c>
      <c r="B81" s="1" t="s">
        <v>105</v>
      </c>
      <c r="C81" s="1" t="s">
        <v>106</v>
      </c>
    </row>
    <row r="82" spans="1:3" x14ac:dyDescent="0.45">
      <c r="A82" s="1" t="s">
        <v>103</v>
      </c>
      <c r="B82" s="1" t="s">
        <v>107</v>
      </c>
      <c r="C82" s="1" t="s">
        <v>108</v>
      </c>
    </row>
    <row r="83" spans="1:3" x14ac:dyDescent="0.45">
      <c r="A83" s="1" t="s">
        <v>103</v>
      </c>
      <c r="B83" s="1" t="s">
        <v>109</v>
      </c>
      <c r="C83" s="1" t="s">
        <v>110</v>
      </c>
    </row>
    <row r="84" spans="1:3" x14ac:dyDescent="0.45">
      <c r="A84" s="1" t="s">
        <v>103</v>
      </c>
      <c r="B84" s="1" t="s">
        <v>111</v>
      </c>
      <c r="C84" s="1" t="s">
        <v>112</v>
      </c>
    </row>
    <row r="85" spans="1:3" x14ac:dyDescent="0.45">
      <c r="A85" s="1" t="s">
        <v>103</v>
      </c>
      <c r="B85" s="1" t="s">
        <v>113</v>
      </c>
      <c r="C85" s="1" t="s">
        <v>114</v>
      </c>
    </row>
    <row r="86" spans="1:3" x14ac:dyDescent="0.45">
      <c r="A86" s="1" t="s">
        <v>103</v>
      </c>
      <c r="B86" s="1" t="s">
        <v>115</v>
      </c>
      <c r="C86" s="1" t="s">
        <v>116</v>
      </c>
    </row>
    <row r="87" spans="1:3" x14ac:dyDescent="0.45">
      <c r="A87" s="1" t="s">
        <v>103</v>
      </c>
      <c r="B87" s="1" t="s">
        <v>117</v>
      </c>
      <c r="C87" s="1" t="s">
        <v>118</v>
      </c>
    </row>
    <row r="88" spans="1:3" x14ac:dyDescent="0.45">
      <c r="A88" s="1" t="s">
        <v>103</v>
      </c>
      <c r="B88" s="1" t="s">
        <v>119</v>
      </c>
      <c r="C88" s="1" t="s">
        <v>120</v>
      </c>
    </row>
    <row r="89" spans="1:3" x14ac:dyDescent="0.45">
      <c r="A89" s="1" t="s">
        <v>103</v>
      </c>
      <c r="B89" s="1" t="s">
        <v>121</v>
      </c>
      <c r="C89" s="1" t="s">
        <v>122</v>
      </c>
    </row>
    <row r="90" spans="1:3" x14ac:dyDescent="0.45">
      <c r="A90" s="1" t="s">
        <v>103</v>
      </c>
      <c r="B90" s="1" t="s">
        <v>123</v>
      </c>
      <c r="C90" s="1" t="s">
        <v>124</v>
      </c>
    </row>
    <row r="91" spans="1:3" x14ac:dyDescent="0.45">
      <c r="A91" s="1" t="s">
        <v>103</v>
      </c>
      <c r="B91" s="1" t="s">
        <v>125</v>
      </c>
      <c r="C91" s="1" t="s">
        <v>126</v>
      </c>
    </row>
    <row r="92" spans="1:3" x14ac:dyDescent="0.45">
      <c r="A92" s="1" t="s">
        <v>103</v>
      </c>
      <c r="B92" s="1" t="s">
        <v>127</v>
      </c>
      <c r="C92" s="1" t="s">
        <v>128</v>
      </c>
    </row>
    <row r="93" spans="1:3" x14ac:dyDescent="0.45">
      <c r="A93" s="1" t="s">
        <v>103</v>
      </c>
      <c r="B93" s="1" t="s">
        <v>129</v>
      </c>
      <c r="C93" s="1" t="s">
        <v>130</v>
      </c>
    </row>
    <row r="94" spans="1:3" x14ac:dyDescent="0.45">
      <c r="A94" s="1" t="s">
        <v>103</v>
      </c>
      <c r="B94" s="1" t="s">
        <v>131</v>
      </c>
      <c r="C94" s="1" t="s">
        <v>132</v>
      </c>
    </row>
    <row r="95" spans="1:3" x14ac:dyDescent="0.45">
      <c r="A95" s="1" t="s">
        <v>103</v>
      </c>
      <c r="B95" s="1" t="s">
        <v>133</v>
      </c>
      <c r="C95" s="1" t="s">
        <v>134</v>
      </c>
    </row>
    <row r="96" spans="1:3" x14ac:dyDescent="0.45">
      <c r="A96" s="1" t="s">
        <v>103</v>
      </c>
      <c r="B96" s="1" t="s">
        <v>135</v>
      </c>
      <c r="C96" s="1" t="s">
        <v>136</v>
      </c>
    </row>
    <row r="97" spans="1:3" x14ac:dyDescent="0.45">
      <c r="A97" s="1" t="s">
        <v>103</v>
      </c>
      <c r="B97" s="1" t="s">
        <v>137</v>
      </c>
      <c r="C97" s="1" t="s">
        <v>138</v>
      </c>
    </row>
    <row r="98" spans="1:3" x14ac:dyDescent="0.45">
      <c r="A98" s="1" t="s">
        <v>103</v>
      </c>
      <c r="B98" s="1" t="s">
        <v>139</v>
      </c>
      <c r="C98" s="1" t="s">
        <v>140</v>
      </c>
    </row>
    <row r="99" spans="1:3" x14ac:dyDescent="0.45">
      <c r="A99" s="1" t="s">
        <v>103</v>
      </c>
      <c r="B99" s="1" t="s">
        <v>141</v>
      </c>
      <c r="C99" s="1" t="s">
        <v>142</v>
      </c>
    </row>
    <row r="100" spans="1:3" x14ac:dyDescent="0.45">
      <c r="A100" s="1" t="s">
        <v>103</v>
      </c>
      <c r="B100" s="1" t="s">
        <v>143</v>
      </c>
      <c r="C100" s="1" t="s">
        <v>144</v>
      </c>
    </row>
    <row r="101" spans="1:3" x14ac:dyDescent="0.45">
      <c r="A101" s="1" t="s">
        <v>103</v>
      </c>
      <c r="B101" s="1" t="s">
        <v>145</v>
      </c>
      <c r="C101" s="1" t="s">
        <v>146</v>
      </c>
    </row>
    <row r="102" spans="1:3" x14ac:dyDescent="0.45">
      <c r="A102" s="1" t="s">
        <v>103</v>
      </c>
      <c r="B102" s="1" t="s">
        <v>147</v>
      </c>
      <c r="C102" s="1" t="s">
        <v>148</v>
      </c>
    </row>
    <row r="103" spans="1:3" x14ac:dyDescent="0.45">
      <c r="A103" s="1" t="s">
        <v>103</v>
      </c>
      <c r="B103" s="1" t="s">
        <v>149</v>
      </c>
      <c r="C103" s="1" t="s">
        <v>150</v>
      </c>
    </row>
    <row r="104" spans="1:3" x14ac:dyDescent="0.45">
      <c r="A104" s="1" t="s">
        <v>103</v>
      </c>
      <c r="B104" s="1" t="s">
        <v>151</v>
      </c>
      <c r="C104" s="1" t="s">
        <v>152</v>
      </c>
    </row>
    <row r="105" spans="1:3" x14ac:dyDescent="0.45">
      <c r="A105" s="1" t="s">
        <v>103</v>
      </c>
      <c r="B105" s="1" t="s">
        <v>153</v>
      </c>
      <c r="C105" s="1" t="s">
        <v>154</v>
      </c>
    </row>
    <row r="106" spans="1:3" x14ac:dyDescent="0.45">
      <c r="A106" s="1" t="s">
        <v>103</v>
      </c>
      <c r="B106" s="1" t="s">
        <v>155</v>
      </c>
      <c r="C106" s="1" t="s">
        <v>156</v>
      </c>
    </row>
    <row r="107" spans="1:3" x14ac:dyDescent="0.45">
      <c r="A107" s="1" t="s">
        <v>157</v>
      </c>
      <c r="B107" s="1" t="s">
        <v>157</v>
      </c>
      <c r="C107" s="1" t="s">
        <v>158</v>
      </c>
    </row>
    <row r="108" spans="1:3" x14ac:dyDescent="0.45">
      <c r="A108" s="1" t="s">
        <v>157</v>
      </c>
      <c r="B108" s="1" t="s">
        <v>159</v>
      </c>
      <c r="C108" s="1" t="s">
        <v>160</v>
      </c>
    </row>
    <row r="109" spans="1:3" x14ac:dyDescent="0.45">
      <c r="A109" s="1" t="s">
        <v>157</v>
      </c>
      <c r="B109" s="1" t="s">
        <v>161</v>
      </c>
      <c r="C109" s="1" t="s">
        <v>162</v>
      </c>
    </row>
    <row r="110" spans="1:3" x14ac:dyDescent="0.45">
      <c r="A110" s="1" t="s">
        <v>157</v>
      </c>
      <c r="B110" s="1" t="s">
        <v>163</v>
      </c>
      <c r="C110" s="1" t="s">
        <v>164</v>
      </c>
    </row>
    <row r="111" spans="1:3" x14ac:dyDescent="0.45">
      <c r="A111" s="1" t="s">
        <v>157</v>
      </c>
      <c r="B111" s="1" t="s">
        <v>165</v>
      </c>
      <c r="C111" s="1" t="s">
        <v>166</v>
      </c>
    </row>
    <row r="112" spans="1:3" x14ac:dyDescent="0.45">
      <c r="A112" s="1" t="s">
        <v>157</v>
      </c>
      <c r="B112" s="1" t="s">
        <v>167</v>
      </c>
      <c r="C112" s="1" t="s">
        <v>168</v>
      </c>
    </row>
    <row r="113" spans="1:3" x14ac:dyDescent="0.45">
      <c r="A113" s="1" t="s">
        <v>157</v>
      </c>
      <c r="B113" s="1" t="s">
        <v>169</v>
      </c>
      <c r="C113" s="1" t="s">
        <v>170</v>
      </c>
    </row>
    <row r="114" spans="1:3" x14ac:dyDescent="0.45">
      <c r="A114" s="1" t="s">
        <v>157</v>
      </c>
      <c r="B114" s="1" t="s">
        <v>171</v>
      </c>
      <c r="C114" s="1" t="s">
        <v>172</v>
      </c>
    </row>
    <row r="115" spans="1:3" x14ac:dyDescent="0.45">
      <c r="A115" s="1" t="s">
        <v>157</v>
      </c>
      <c r="B115" s="1" t="s">
        <v>173</v>
      </c>
      <c r="C115" s="1" t="s">
        <v>174</v>
      </c>
    </row>
    <row r="116" spans="1:3" x14ac:dyDescent="0.45">
      <c r="A116" s="1" t="s">
        <v>157</v>
      </c>
      <c r="B116" s="1" t="s">
        <v>175</v>
      </c>
      <c r="C116" s="1" t="s">
        <v>176</v>
      </c>
    </row>
    <row r="117" spans="1:3" x14ac:dyDescent="0.45">
      <c r="A117" s="1" t="s">
        <v>157</v>
      </c>
      <c r="B117" s="1" t="s">
        <v>177</v>
      </c>
      <c r="C117" s="1" t="s">
        <v>178</v>
      </c>
    </row>
    <row r="118" spans="1:3" x14ac:dyDescent="0.45">
      <c r="A118" s="1" t="s">
        <v>157</v>
      </c>
      <c r="B118" s="1" t="s">
        <v>179</v>
      </c>
      <c r="C118" s="1" t="s">
        <v>180</v>
      </c>
    </row>
    <row r="119" spans="1:3" x14ac:dyDescent="0.45">
      <c r="A119" s="1" t="s">
        <v>157</v>
      </c>
      <c r="B119" s="1" t="s">
        <v>181</v>
      </c>
      <c r="C119" s="1" t="s">
        <v>182</v>
      </c>
    </row>
    <row r="120" spans="1:3" x14ac:dyDescent="0.45">
      <c r="A120" s="1" t="s">
        <v>157</v>
      </c>
      <c r="B120" s="1" t="s">
        <v>183</v>
      </c>
      <c r="C120" s="1" t="s">
        <v>184</v>
      </c>
    </row>
    <row r="121" spans="1:3" x14ac:dyDescent="0.45">
      <c r="A121" s="1" t="s">
        <v>157</v>
      </c>
      <c r="B121" s="1" t="s">
        <v>185</v>
      </c>
      <c r="C121" s="1" t="s">
        <v>186</v>
      </c>
    </row>
    <row r="122" spans="1:3" x14ac:dyDescent="0.45">
      <c r="A122" s="1" t="s">
        <v>157</v>
      </c>
      <c r="B122" s="1" t="s">
        <v>187</v>
      </c>
      <c r="C122" s="1" t="s">
        <v>188</v>
      </c>
    </row>
    <row r="123" spans="1:3" x14ac:dyDescent="0.45">
      <c r="A123" s="1" t="s">
        <v>157</v>
      </c>
      <c r="B123" s="1" t="s">
        <v>189</v>
      </c>
      <c r="C123" s="1" t="s">
        <v>190</v>
      </c>
    </row>
    <row r="124" spans="1:3" x14ac:dyDescent="0.45">
      <c r="A124" s="1" t="s">
        <v>157</v>
      </c>
      <c r="B124" s="1" t="s">
        <v>191</v>
      </c>
      <c r="C124" s="1" t="s">
        <v>192</v>
      </c>
    </row>
    <row r="125" spans="1:3" x14ac:dyDescent="0.45">
      <c r="A125" s="1" t="s">
        <v>157</v>
      </c>
      <c r="B125" s="1" t="s">
        <v>193</v>
      </c>
      <c r="C125" s="1" t="s">
        <v>194</v>
      </c>
    </row>
    <row r="126" spans="1:3" x14ac:dyDescent="0.45">
      <c r="A126" s="1" t="s">
        <v>157</v>
      </c>
      <c r="B126" s="1" t="s">
        <v>195</v>
      </c>
      <c r="C126" s="1" t="s">
        <v>196</v>
      </c>
    </row>
    <row r="127" spans="1:3" x14ac:dyDescent="0.45">
      <c r="A127" s="1" t="s">
        <v>157</v>
      </c>
      <c r="B127" s="1" t="s">
        <v>197</v>
      </c>
      <c r="C127" s="1" t="s">
        <v>198</v>
      </c>
    </row>
    <row r="128" spans="1:3" x14ac:dyDescent="0.45">
      <c r="A128" s="1" t="s">
        <v>157</v>
      </c>
      <c r="B128" s="1" t="s">
        <v>199</v>
      </c>
      <c r="C128" s="1" t="s">
        <v>200</v>
      </c>
    </row>
    <row r="129" spans="1:3" x14ac:dyDescent="0.45">
      <c r="A129" s="1" t="s">
        <v>157</v>
      </c>
      <c r="B129" s="1" t="s">
        <v>201</v>
      </c>
      <c r="C129" s="1" t="s">
        <v>202</v>
      </c>
    </row>
    <row r="130" spans="1:3" x14ac:dyDescent="0.45">
      <c r="A130" s="1" t="s">
        <v>157</v>
      </c>
      <c r="B130" s="1" t="s">
        <v>203</v>
      </c>
      <c r="C130" s="1" t="s">
        <v>204</v>
      </c>
    </row>
    <row r="131" spans="1:3" x14ac:dyDescent="0.45">
      <c r="A131" s="1" t="s">
        <v>157</v>
      </c>
      <c r="B131" s="1" t="s">
        <v>205</v>
      </c>
      <c r="C131" s="1" t="s">
        <v>206</v>
      </c>
    </row>
    <row r="132" spans="1:3" x14ac:dyDescent="0.45">
      <c r="A132" s="1" t="s">
        <v>157</v>
      </c>
      <c r="B132" s="1" t="s">
        <v>207</v>
      </c>
      <c r="C132" s="1" t="s">
        <v>208</v>
      </c>
    </row>
    <row r="133" spans="1:3" x14ac:dyDescent="0.45">
      <c r="A133" s="1" t="s">
        <v>157</v>
      </c>
      <c r="B133" s="1" t="s">
        <v>209</v>
      </c>
      <c r="C133" s="1" t="s">
        <v>210</v>
      </c>
    </row>
    <row r="134" spans="1:3" x14ac:dyDescent="0.45">
      <c r="A134" s="1" t="s">
        <v>157</v>
      </c>
      <c r="B134" s="1" t="s">
        <v>211</v>
      </c>
      <c r="C134" s="1" t="s">
        <v>212</v>
      </c>
    </row>
    <row r="135" spans="1:3" x14ac:dyDescent="0.45">
      <c r="A135" s="1" t="s">
        <v>157</v>
      </c>
      <c r="B135" s="1" t="s">
        <v>213</v>
      </c>
      <c r="C135" s="1" t="s">
        <v>214</v>
      </c>
    </row>
    <row r="136" spans="1:3" x14ac:dyDescent="0.45">
      <c r="A136" s="1" t="s">
        <v>157</v>
      </c>
      <c r="B136" s="1" t="s">
        <v>215</v>
      </c>
      <c r="C136" s="1" t="s">
        <v>216</v>
      </c>
    </row>
    <row r="137" spans="1:3" x14ac:dyDescent="0.45">
      <c r="A137" s="1" t="s">
        <v>157</v>
      </c>
      <c r="B137" s="1" t="s">
        <v>217</v>
      </c>
      <c r="C137" s="1" t="s">
        <v>218</v>
      </c>
    </row>
    <row r="138" spans="1:3" x14ac:dyDescent="0.45">
      <c r="A138" s="1" t="s">
        <v>219</v>
      </c>
      <c r="B138" s="1" t="s">
        <v>219</v>
      </c>
      <c r="C138" s="1" t="s">
        <v>220</v>
      </c>
    </row>
    <row r="139" spans="1:3" x14ac:dyDescent="0.45">
      <c r="A139" s="1" t="s">
        <v>219</v>
      </c>
      <c r="B139" s="1" t="s">
        <v>221</v>
      </c>
      <c r="C139" s="1" t="s">
        <v>222</v>
      </c>
    </row>
    <row r="140" spans="1:3" x14ac:dyDescent="0.45">
      <c r="A140" s="1" t="s">
        <v>219</v>
      </c>
      <c r="B140" s="1" t="s">
        <v>223</v>
      </c>
      <c r="C140" s="1" t="s">
        <v>224</v>
      </c>
    </row>
    <row r="141" spans="1:3" x14ac:dyDescent="0.45">
      <c r="A141" s="1" t="s">
        <v>219</v>
      </c>
      <c r="B141" s="1" t="s">
        <v>225</v>
      </c>
      <c r="C141" s="1" t="s">
        <v>226</v>
      </c>
    </row>
    <row r="142" spans="1:3" x14ac:dyDescent="0.45">
      <c r="A142" s="1" t="s">
        <v>219</v>
      </c>
      <c r="B142" s="1" t="s">
        <v>227</v>
      </c>
      <c r="C142" s="1" t="s">
        <v>228</v>
      </c>
    </row>
    <row r="143" spans="1:3" x14ac:dyDescent="0.45">
      <c r="A143" s="1" t="s">
        <v>219</v>
      </c>
      <c r="B143" s="1" t="s">
        <v>229</v>
      </c>
      <c r="C143" s="1" t="s">
        <v>230</v>
      </c>
    </row>
    <row r="144" spans="1:3" x14ac:dyDescent="0.45">
      <c r="A144" s="1" t="s">
        <v>219</v>
      </c>
      <c r="B144" s="1" t="s">
        <v>231</v>
      </c>
      <c r="C144" s="1" t="s">
        <v>232</v>
      </c>
    </row>
    <row r="145" spans="1:3" x14ac:dyDescent="0.45">
      <c r="A145" s="1" t="s">
        <v>219</v>
      </c>
      <c r="B145" s="1" t="s">
        <v>233</v>
      </c>
      <c r="C145" s="1" t="s">
        <v>234</v>
      </c>
    </row>
    <row r="146" spans="1:3" x14ac:dyDescent="0.45">
      <c r="A146" s="1" t="s">
        <v>219</v>
      </c>
      <c r="B146" s="1" t="s">
        <v>235</v>
      </c>
      <c r="C146" s="1" t="s">
        <v>236</v>
      </c>
    </row>
    <row r="147" spans="1:3" x14ac:dyDescent="0.45">
      <c r="A147" s="1" t="s">
        <v>219</v>
      </c>
      <c r="B147" s="1" t="s">
        <v>237</v>
      </c>
      <c r="C147" s="1" t="s">
        <v>238</v>
      </c>
    </row>
    <row r="148" spans="1:3" x14ac:dyDescent="0.45">
      <c r="A148" s="1" t="s">
        <v>219</v>
      </c>
      <c r="B148" s="1" t="s">
        <v>239</v>
      </c>
      <c r="C148" s="1" t="s">
        <v>240</v>
      </c>
    </row>
    <row r="149" spans="1:3" x14ac:dyDescent="0.45">
      <c r="A149" s="1" t="s">
        <v>219</v>
      </c>
      <c r="B149" s="1" t="s">
        <v>241</v>
      </c>
      <c r="C149" s="1" t="s">
        <v>242</v>
      </c>
    </row>
    <row r="150" spans="1:3" x14ac:dyDescent="0.45">
      <c r="A150" s="1" t="s">
        <v>243</v>
      </c>
      <c r="B150" s="1" t="s">
        <v>243</v>
      </c>
      <c r="C150" s="1" t="s">
        <v>244</v>
      </c>
    </row>
    <row r="151" spans="1:3" x14ac:dyDescent="0.45">
      <c r="A151" s="1" t="s">
        <v>243</v>
      </c>
      <c r="B151" s="1" t="s">
        <v>245</v>
      </c>
      <c r="C151" s="1" t="s">
        <v>246</v>
      </c>
    </row>
    <row r="152" spans="1:3" x14ac:dyDescent="0.45">
      <c r="A152" s="1" t="s">
        <v>243</v>
      </c>
      <c r="B152" s="1" t="s">
        <v>247</v>
      </c>
      <c r="C152" s="1" t="s">
        <v>248</v>
      </c>
    </row>
    <row r="153" spans="1:3" x14ac:dyDescent="0.45">
      <c r="A153" s="1" t="s">
        <v>249</v>
      </c>
      <c r="B153" s="1" t="s">
        <v>249</v>
      </c>
      <c r="C153" s="1" t="s">
        <v>250</v>
      </c>
    </row>
    <row r="154" spans="1:3" x14ac:dyDescent="0.45">
      <c r="A154" s="1" t="s">
        <v>249</v>
      </c>
      <c r="B154" s="1" t="s">
        <v>51</v>
      </c>
      <c r="C154" s="1" t="s">
        <v>251</v>
      </c>
    </row>
    <row r="155" spans="1:3" x14ac:dyDescent="0.45">
      <c r="A155" s="1" t="s">
        <v>249</v>
      </c>
      <c r="B155" s="1" t="s">
        <v>53</v>
      </c>
      <c r="C155" s="1" t="s">
        <v>54</v>
      </c>
    </row>
    <row r="156" spans="1:3" x14ac:dyDescent="0.45">
      <c r="A156" s="1" t="s">
        <v>249</v>
      </c>
      <c r="B156" s="1" t="s">
        <v>55</v>
      </c>
      <c r="C156" s="1" t="s">
        <v>56</v>
      </c>
    </row>
    <row r="157" spans="1:3" x14ac:dyDescent="0.45">
      <c r="A157" s="1" t="s">
        <v>249</v>
      </c>
      <c r="B157" s="1" t="s">
        <v>64</v>
      </c>
      <c r="C157" s="1" t="s">
        <v>65</v>
      </c>
    </row>
    <row r="158" spans="1:3" x14ac:dyDescent="0.45">
      <c r="A158" s="1" t="s">
        <v>249</v>
      </c>
      <c r="B158" s="1" t="s">
        <v>66</v>
      </c>
      <c r="C158" s="1" t="s">
        <v>67</v>
      </c>
    </row>
    <row r="159" spans="1:3" x14ac:dyDescent="0.45">
      <c r="A159" s="1" t="s">
        <v>249</v>
      </c>
      <c r="B159" s="1" t="s">
        <v>252</v>
      </c>
      <c r="C159" s="1" t="s">
        <v>253</v>
      </c>
    </row>
    <row r="160" spans="1:3" x14ac:dyDescent="0.45">
      <c r="A160" s="1" t="s">
        <v>249</v>
      </c>
      <c r="B160" s="1" t="s">
        <v>254</v>
      </c>
      <c r="C160" s="1" t="s">
        <v>255</v>
      </c>
    </row>
    <row r="161" spans="1:3" x14ac:dyDescent="0.45">
      <c r="A161" s="1" t="s">
        <v>249</v>
      </c>
      <c r="B161" s="1" t="s">
        <v>256</v>
      </c>
      <c r="C161" s="1" t="s">
        <v>257</v>
      </c>
    </row>
    <row r="162" spans="1:3" x14ac:dyDescent="0.45">
      <c r="A162" s="1" t="s">
        <v>249</v>
      </c>
      <c r="B162" s="1" t="s">
        <v>258</v>
      </c>
      <c r="C162" s="1" t="s">
        <v>259</v>
      </c>
    </row>
    <row r="163" spans="1:3" x14ac:dyDescent="0.45">
      <c r="A163" s="1" t="s">
        <v>249</v>
      </c>
      <c r="B163" s="1" t="s">
        <v>260</v>
      </c>
      <c r="C163" s="1" t="s">
        <v>261</v>
      </c>
    </row>
    <row r="164" spans="1:3" x14ac:dyDescent="0.45">
      <c r="A164" s="1" t="s">
        <v>262</v>
      </c>
      <c r="B164" s="1" t="s">
        <v>262</v>
      </c>
      <c r="C164" s="1" t="s">
        <v>263</v>
      </c>
    </row>
    <row r="165" spans="1:3" x14ac:dyDescent="0.45">
      <c r="A165" s="1" t="s">
        <v>262</v>
      </c>
      <c r="B165" s="1" t="s">
        <v>264</v>
      </c>
      <c r="C165" s="1" t="s">
        <v>265</v>
      </c>
    </row>
    <row r="166" spans="1:3" x14ac:dyDescent="0.45">
      <c r="A166" s="1" t="s">
        <v>262</v>
      </c>
      <c r="B166" s="1" t="s">
        <v>266</v>
      </c>
      <c r="C166" s="1" t="s">
        <v>267</v>
      </c>
    </row>
    <row r="167" spans="1:3" x14ac:dyDescent="0.45">
      <c r="A167" s="1" t="s">
        <v>262</v>
      </c>
      <c r="B167" s="1" t="s">
        <v>268</v>
      </c>
      <c r="C167" s="1" t="s">
        <v>269</v>
      </c>
    </row>
    <row r="168" spans="1:3" x14ac:dyDescent="0.45">
      <c r="A168" s="1" t="s">
        <v>262</v>
      </c>
      <c r="B168" s="1" t="s">
        <v>270</v>
      </c>
      <c r="C168" s="1" t="s">
        <v>271</v>
      </c>
    </row>
    <row r="169" spans="1:3" x14ac:dyDescent="0.45">
      <c r="A169" s="1" t="s">
        <v>262</v>
      </c>
      <c r="B169" s="1" t="s">
        <v>272</v>
      </c>
      <c r="C169" s="1" t="s">
        <v>273</v>
      </c>
    </row>
    <row r="170" spans="1:3" x14ac:dyDescent="0.45">
      <c r="A170" s="1" t="s">
        <v>274</v>
      </c>
      <c r="B170" s="1" t="s">
        <v>274</v>
      </c>
      <c r="C170" s="1" t="s">
        <v>275</v>
      </c>
    </row>
    <row r="171" spans="1:3" x14ac:dyDescent="0.45">
      <c r="A171" s="1" t="s">
        <v>274</v>
      </c>
      <c r="B171" s="1" t="s">
        <v>276</v>
      </c>
      <c r="C171" s="1" t="s">
        <v>277</v>
      </c>
    </row>
    <row r="172" spans="1:3" x14ac:dyDescent="0.45">
      <c r="A172" s="1" t="s">
        <v>274</v>
      </c>
      <c r="B172" s="1" t="s">
        <v>278</v>
      </c>
      <c r="C172" s="1" t="s">
        <v>279</v>
      </c>
    </row>
    <row r="173" spans="1:3" x14ac:dyDescent="0.45">
      <c r="A173" s="1" t="s">
        <v>280</v>
      </c>
      <c r="B173" s="1" t="s">
        <v>280</v>
      </c>
      <c r="C173" s="1" t="s">
        <v>281</v>
      </c>
    </row>
    <row r="174" spans="1:3" x14ac:dyDescent="0.45">
      <c r="A174" s="1" t="s">
        <v>280</v>
      </c>
      <c r="B174" s="1" t="s">
        <v>282</v>
      </c>
      <c r="C174" s="1" t="s">
        <v>283</v>
      </c>
    </row>
    <row r="175" spans="1:3" x14ac:dyDescent="0.45">
      <c r="A175" s="1" t="s">
        <v>280</v>
      </c>
      <c r="B175" s="1" t="s">
        <v>284</v>
      </c>
      <c r="C175" s="1" t="s">
        <v>279</v>
      </c>
    </row>
    <row r="176" spans="1:3" x14ac:dyDescent="0.45">
      <c r="A176" s="1" t="s">
        <v>280</v>
      </c>
      <c r="B176" s="1" t="s">
        <v>285</v>
      </c>
      <c r="C176" s="1" t="s">
        <v>286</v>
      </c>
    </row>
    <row r="177" spans="1:3" x14ac:dyDescent="0.45">
      <c r="A177" s="1" t="s">
        <v>280</v>
      </c>
      <c r="B177" s="1" t="s">
        <v>287</v>
      </c>
      <c r="C177" s="1" t="s">
        <v>288</v>
      </c>
    </row>
    <row r="178" spans="1:3" x14ac:dyDescent="0.45">
      <c r="A178" s="1" t="s">
        <v>289</v>
      </c>
      <c r="B178" s="1" t="s">
        <v>289</v>
      </c>
      <c r="C178" s="1" t="s">
        <v>290</v>
      </c>
    </row>
    <row r="179" spans="1:3" x14ac:dyDescent="0.45">
      <c r="A179" s="1" t="s">
        <v>289</v>
      </c>
      <c r="B179" s="1" t="s">
        <v>291</v>
      </c>
      <c r="C179" s="1" t="s">
        <v>292</v>
      </c>
    </row>
    <row r="180" spans="1:3" x14ac:dyDescent="0.45">
      <c r="A180" s="1" t="s">
        <v>289</v>
      </c>
      <c r="B180" s="1" t="s">
        <v>51</v>
      </c>
      <c r="C180" s="1" t="s">
        <v>52</v>
      </c>
    </row>
    <row r="181" spans="1:3" x14ac:dyDescent="0.45">
      <c r="A181" s="1" t="s">
        <v>289</v>
      </c>
      <c r="B181" s="1" t="s">
        <v>53</v>
      </c>
      <c r="C181" s="1" t="s">
        <v>54</v>
      </c>
    </row>
    <row r="182" spans="1:3" x14ac:dyDescent="0.45">
      <c r="A182" s="1" t="s">
        <v>289</v>
      </c>
      <c r="B182" s="1" t="s">
        <v>55</v>
      </c>
      <c r="C182" s="1" t="s">
        <v>56</v>
      </c>
    </row>
    <row r="183" spans="1:3" x14ac:dyDescent="0.45">
      <c r="A183" s="1" t="s">
        <v>289</v>
      </c>
      <c r="B183" s="1" t="s">
        <v>64</v>
      </c>
      <c r="C183" s="1" t="s">
        <v>65</v>
      </c>
    </row>
    <row r="184" spans="1:3" x14ac:dyDescent="0.45">
      <c r="A184" s="1" t="s">
        <v>289</v>
      </c>
      <c r="B184" s="1" t="s">
        <v>66</v>
      </c>
      <c r="C184" s="1" t="s">
        <v>67</v>
      </c>
    </row>
    <row r="185" spans="1:3" x14ac:dyDescent="0.45">
      <c r="A185" s="1" t="s">
        <v>289</v>
      </c>
      <c r="B185" s="1" t="s">
        <v>252</v>
      </c>
      <c r="C185" s="1" t="s">
        <v>253</v>
      </c>
    </row>
    <row r="186" spans="1:3" x14ac:dyDescent="0.45">
      <c r="A186" s="1" t="s">
        <v>289</v>
      </c>
      <c r="B186" s="1" t="s">
        <v>254</v>
      </c>
      <c r="C186" s="1" t="s">
        <v>255</v>
      </c>
    </row>
    <row r="187" spans="1:3" x14ac:dyDescent="0.45">
      <c r="A187" s="1" t="s">
        <v>289</v>
      </c>
      <c r="B187" s="1" t="s">
        <v>293</v>
      </c>
      <c r="C187" s="1" t="s">
        <v>294</v>
      </c>
    </row>
  </sheetData>
  <mergeCells count="6">
    <mergeCell ref="A1:B4"/>
    <mergeCell ref="C1:K4"/>
    <mergeCell ref="L1:M4"/>
    <mergeCell ref="A6:M38"/>
    <mergeCell ref="A40:C41"/>
    <mergeCell ref="E40:M41"/>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75AA8-172A-408B-BA5E-08D790CA612E}">
  <sheetPr codeName="NetNum"/>
  <dimension ref="A1:Y133"/>
  <sheetViews>
    <sheetView zoomScale="70" zoomScaleNormal="70" workbookViewId="0">
      <selection activeCell="T22" sqref="T22"/>
    </sheetView>
  </sheetViews>
  <sheetFormatPr defaultColWidth="8.73046875" defaultRowHeight="14.25" x14ac:dyDescent="0.45"/>
  <cols>
    <col min="1" max="1" width="11" style="1" bestFit="1" customWidth="1"/>
    <col min="2" max="2" width="8.1328125" style="1" bestFit="1" customWidth="1"/>
    <col min="3" max="3" width="6.53125" style="1" bestFit="1" customWidth="1"/>
    <col min="4" max="4" width="5.46484375" style="1" bestFit="1" customWidth="1"/>
    <col min="5" max="5" width="8.73046875" style="1"/>
    <col min="6" max="6" width="7.6640625" style="1" bestFit="1" customWidth="1"/>
    <col min="7" max="7" width="10.265625" style="1" bestFit="1" customWidth="1"/>
    <col min="8" max="8" width="9.33203125" style="1" bestFit="1" customWidth="1"/>
    <col min="9" max="9" width="8.6640625" customWidth="1"/>
    <col min="10" max="10" width="6.53125" style="1" bestFit="1" customWidth="1"/>
    <col min="11" max="11" width="9.59765625" style="1" bestFit="1" customWidth="1"/>
    <col min="12" max="12" width="7.33203125" style="1" bestFit="1" customWidth="1"/>
    <col min="13" max="13" width="9.3984375" style="1" bestFit="1" customWidth="1"/>
    <col min="14" max="14" width="9.33203125" style="1" bestFit="1" customWidth="1"/>
    <col min="15" max="15" width="9.1328125" style="1" bestFit="1" customWidth="1"/>
    <col min="16" max="16" width="6.9296875" style="1" bestFit="1" customWidth="1"/>
    <col min="17" max="17" width="6.33203125" style="1" bestFit="1" customWidth="1"/>
    <col min="18" max="18" width="7.86328125" style="1" bestFit="1" customWidth="1"/>
    <col min="19" max="19" width="8.73046875" style="1"/>
    <col min="20" max="20" width="7.33203125" style="1" bestFit="1" customWidth="1"/>
    <col min="21" max="21" width="9.86328125" style="1" bestFit="1" customWidth="1"/>
    <col min="22" max="22" width="8.9296875" style="1" bestFit="1" customWidth="1"/>
    <col min="23" max="23" width="10.19921875" style="1" bestFit="1" customWidth="1"/>
    <col min="24" max="24" width="11.265625" style="1" bestFit="1" customWidth="1"/>
    <col min="25" max="25" width="3.796875" style="1" bestFit="1" customWidth="1"/>
    <col min="26" max="31" width="8.73046875" style="1"/>
    <col min="32" max="32" width="8.53125" style="1" customWidth="1"/>
    <col min="33" max="16384" width="8.73046875" style="1"/>
  </cols>
  <sheetData>
    <row r="1" spans="1:25" x14ac:dyDescent="0.45">
      <c r="A1" s="4" t="s">
        <v>295</v>
      </c>
      <c r="B1" s="4" t="s">
        <v>296</v>
      </c>
      <c r="C1" s="4" t="s">
        <v>297</v>
      </c>
      <c r="D1" s="4" t="s">
        <v>298</v>
      </c>
      <c r="F1" s="4" t="s">
        <v>44</v>
      </c>
      <c r="G1" s="4" t="s">
        <v>48</v>
      </c>
      <c r="H1" s="4" t="s">
        <v>50</v>
      </c>
      <c r="J1" s="4" t="s">
        <v>51</v>
      </c>
      <c r="K1" s="4" t="s">
        <v>53</v>
      </c>
      <c r="L1" s="4" t="s">
        <v>55</v>
      </c>
      <c r="M1" s="4" t="s">
        <v>57</v>
      </c>
      <c r="N1" s="4" t="s">
        <v>59</v>
      </c>
      <c r="O1" s="4" t="s">
        <v>61</v>
      </c>
      <c r="P1" s="4" t="s">
        <v>63</v>
      </c>
      <c r="Q1" s="4" t="s">
        <v>64</v>
      </c>
      <c r="R1" s="4" t="s">
        <v>66</v>
      </c>
      <c r="T1" s="4" t="s">
        <v>68</v>
      </c>
      <c r="U1" s="4" t="s">
        <v>70</v>
      </c>
      <c r="V1" s="4" t="s">
        <v>72</v>
      </c>
      <c r="X1"/>
      <c r="Y1"/>
    </row>
    <row r="2" spans="1:25" x14ac:dyDescent="0.45">
      <c r="A2" s="5" t="s">
        <v>44</v>
      </c>
      <c r="B2" s="1" t="s">
        <v>17</v>
      </c>
      <c r="C2" s="1" t="s">
        <v>299</v>
      </c>
      <c r="F2" s="1">
        <v>1</v>
      </c>
      <c r="G2" s="1" t="str">
        <f>"Node" &amp; " " &amp; F2</f>
        <v>Node 1</v>
      </c>
      <c r="H2" s="1" t="s">
        <v>14</v>
      </c>
      <c r="J2" s="1">
        <v>1</v>
      </c>
      <c r="K2" s="1">
        <v>1</v>
      </c>
      <c r="L2" s="1">
        <v>9</v>
      </c>
      <c r="M2" s="1">
        <f t="shared" ref="M2:M65" si="0">IFERROR(VLOOKUP(K2,$T$2:$T$13,1,FALSE),0)</f>
        <v>0</v>
      </c>
      <c r="N2" s="1" t="s">
        <v>15</v>
      </c>
      <c r="O2" s="1">
        <v>5</v>
      </c>
      <c r="P2" s="1">
        <f>VLOOKUP(N2,Info!$G$43:$I$46,3,FALSE)</f>
        <v>120</v>
      </c>
      <c r="Q2" s="1">
        <f>VLOOKUP(N2,Info!$G$43:$I$46,2,FALSE)</f>
        <v>4000</v>
      </c>
      <c r="R2" s="6">
        <f t="shared" ref="R2:R65" si="1">O2/P2*60</f>
        <v>2.5</v>
      </c>
      <c r="T2" s="1">
        <v>9</v>
      </c>
      <c r="U2" s="1" t="str">
        <f>"Zone" &amp; " " &amp; T2</f>
        <v>Zone 9</v>
      </c>
      <c r="V2" s="1" t="s">
        <v>16</v>
      </c>
      <c r="X2"/>
      <c r="Y2"/>
    </row>
    <row r="3" spans="1:25" x14ac:dyDescent="0.45">
      <c r="A3" s="5" t="s">
        <v>48</v>
      </c>
      <c r="B3" s="1" t="s">
        <v>17</v>
      </c>
      <c r="C3" s="1" t="s">
        <v>300</v>
      </c>
      <c r="F3" s="1">
        <v>2</v>
      </c>
      <c r="G3" s="1" t="str">
        <f t="shared" ref="G3:G45" si="2">"Node" &amp; " " &amp; F3</f>
        <v>Node 2</v>
      </c>
      <c r="H3" s="1" t="s">
        <v>14</v>
      </c>
      <c r="J3" s="1">
        <v>2</v>
      </c>
      <c r="K3" s="1">
        <v>2</v>
      </c>
      <c r="L3" s="1">
        <v>10</v>
      </c>
      <c r="M3" s="1">
        <f t="shared" si="0"/>
        <v>0</v>
      </c>
      <c r="N3" s="1" t="s">
        <v>20</v>
      </c>
      <c r="O3" s="1">
        <v>5</v>
      </c>
      <c r="P3" s="1">
        <f>VLOOKUP(N3,Info!$G$43:$I$46,3,FALSE)</f>
        <v>110</v>
      </c>
      <c r="Q3" s="1">
        <f>VLOOKUP(N3,Info!$G$43:$I$46,2,FALSE)</f>
        <v>3500</v>
      </c>
      <c r="R3" s="6">
        <f t="shared" si="1"/>
        <v>2.7272727272727275</v>
      </c>
      <c r="T3" s="1">
        <v>12</v>
      </c>
      <c r="U3" s="1" t="str">
        <f t="shared" ref="U3:U13" si="3">"Zone" &amp; " " &amp; T3</f>
        <v>Zone 12</v>
      </c>
      <c r="V3" s="1" t="s">
        <v>16</v>
      </c>
      <c r="X3"/>
      <c r="Y3"/>
    </row>
    <row r="4" spans="1:25" x14ac:dyDescent="0.45">
      <c r="A4" s="5" t="s">
        <v>50</v>
      </c>
      <c r="B4" s="1" t="s">
        <v>17</v>
      </c>
      <c r="C4" s="1" t="s">
        <v>301</v>
      </c>
      <c r="F4" s="1">
        <v>3</v>
      </c>
      <c r="G4" s="1" t="str">
        <f t="shared" si="2"/>
        <v>Node 3</v>
      </c>
      <c r="H4" s="1" t="s">
        <v>14</v>
      </c>
      <c r="J4" s="1">
        <v>3</v>
      </c>
      <c r="K4" s="1">
        <v>3</v>
      </c>
      <c r="L4" s="1">
        <v>14</v>
      </c>
      <c r="M4" s="1">
        <f t="shared" si="0"/>
        <v>0</v>
      </c>
      <c r="N4" s="1" t="s">
        <v>20</v>
      </c>
      <c r="O4" s="1">
        <v>5</v>
      </c>
      <c r="P4" s="1">
        <f>VLOOKUP(N4,Info!$G$43:$I$46,3,FALSE)</f>
        <v>110</v>
      </c>
      <c r="Q4" s="1">
        <f>VLOOKUP(N4,Info!$G$43:$I$46,2,FALSE)</f>
        <v>3500</v>
      </c>
      <c r="R4" s="6">
        <f t="shared" si="1"/>
        <v>2.7272727272727275</v>
      </c>
      <c r="T4" s="1">
        <v>29</v>
      </c>
      <c r="U4" s="1" t="str">
        <f t="shared" si="3"/>
        <v>Zone 29</v>
      </c>
      <c r="V4" s="1" t="s">
        <v>16</v>
      </c>
      <c r="X4"/>
      <c r="Y4"/>
    </row>
    <row r="5" spans="1:25" x14ac:dyDescent="0.45">
      <c r="A5" s="5" t="s">
        <v>51</v>
      </c>
      <c r="B5" s="1" t="s">
        <v>17</v>
      </c>
      <c r="C5" s="1" t="s">
        <v>302</v>
      </c>
      <c r="F5" s="1">
        <v>4</v>
      </c>
      <c r="G5" s="1" t="str">
        <f t="shared" si="2"/>
        <v>Node 4</v>
      </c>
      <c r="H5" s="1" t="s">
        <v>14</v>
      </c>
      <c r="J5" s="1">
        <v>4</v>
      </c>
      <c r="K5" s="1">
        <v>4</v>
      </c>
      <c r="L5" s="1">
        <v>16</v>
      </c>
      <c r="M5" s="1">
        <f t="shared" si="0"/>
        <v>0</v>
      </c>
      <c r="N5" s="1" t="s">
        <v>20</v>
      </c>
      <c r="O5" s="1">
        <v>5</v>
      </c>
      <c r="P5" s="1">
        <f>VLOOKUP(N5,Info!$G$43:$I$46,3,FALSE)</f>
        <v>110</v>
      </c>
      <c r="Q5" s="1">
        <f>VLOOKUP(N5,Info!$G$43:$I$46,2,FALSE)</f>
        <v>3500</v>
      </c>
      <c r="R5" s="6">
        <f t="shared" si="1"/>
        <v>2.7272727272727275</v>
      </c>
      <c r="T5" s="1">
        <v>24</v>
      </c>
      <c r="U5" s="1" t="str">
        <f t="shared" si="3"/>
        <v>Zone 24</v>
      </c>
      <c r="V5" s="1" t="s">
        <v>16</v>
      </c>
    </row>
    <row r="6" spans="1:25" x14ac:dyDescent="0.45">
      <c r="A6" s="5" t="s">
        <v>53</v>
      </c>
      <c r="B6" s="1" t="s">
        <v>17</v>
      </c>
      <c r="C6" s="1" t="s">
        <v>303</v>
      </c>
      <c r="F6" s="1">
        <v>5</v>
      </c>
      <c r="G6" s="1" t="str">
        <f t="shared" si="2"/>
        <v>Node 5</v>
      </c>
      <c r="H6" s="1" t="s">
        <v>14</v>
      </c>
      <c r="J6" s="1">
        <v>5</v>
      </c>
      <c r="K6" s="1">
        <v>5</v>
      </c>
      <c r="L6" s="1">
        <v>18</v>
      </c>
      <c r="M6" s="1">
        <f t="shared" si="0"/>
        <v>0</v>
      </c>
      <c r="N6" s="1" t="s">
        <v>20</v>
      </c>
      <c r="O6" s="1">
        <v>5</v>
      </c>
      <c r="P6" s="1">
        <f>VLOOKUP(N6,Info!$G$43:$I$46,3,FALSE)</f>
        <v>110</v>
      </c>
      <c r="Q6" s="1">
        <f>VLOOKUP(N6,Info!$G$43:$I$46,2,FALSE)</f>
        <v>3500</v>
      </c>
      <c r="R6" s="6">
        <f t="shared" si="1"/>
        <v>2.7272727272727275</v>
      </c>
      <c r="T6" s="1">
        <v>21</v>
      </c>
      <c r="U6" s="1" t="str">
        <f t="shared" si="3"/>
        <v>Zone 21</v>
      </c>
      <c r="V6" s="1" t="s">
        <v>16</v>
      </c>
    </row>
    <row r="7" spans="1:25" x14ac:dyDescent="0.45">
      <c r="A7" s="5" t="s">
        <v>55</v>
      </c>
      <c r="B7" s="1" t="s">
        <v>17</v>
      </c>
      <c r="C7" s="1" t="s">
        <v>304</v>
      </c>
      <c r="F7" s="1">
        <v>6</v>
      </c>
      <c r="G7" s="1" t="str">
        <f t="shared" si="2"/>
        <v>Node 6</v>
      </c>
      <c r="H7" s="1" t="s">
        <v>14</v>
      </c>
      <c r="J7" s="1">
        <v>6</v>
      </c>
      <c r="K7" s="1">
        <v>6</v>
      </c>
      <c r="L7" s="1">
        <v>19</v>
      </c>
      <c r="M7" s="1">
        <f t="shared" si="0"/>
        <v>0</v>
      </c>
      <c r="N7" s="1" t="s">
        <v>15</v>
      </c>
      <c r="O7" s="1">
        <v>5</v>
      </c>
      <c r="P7" s="1">
        <f>VLOOKUP(N7,Info!$G$43:$I$46,3,FALSE)</f>
        <v>120</v>
      </c>
      <c r="Q7" s="1">
        <f>VLOOKUP(N7,Info!$G$43:$I$46,2,FALSE)</f>
        <v>4000</v>
      </c>
      <c r="R7" s="6">
        <f t="shared" si="1"/>
        <v>2.5</v>
      </c>
      <c r="T7" s="1">
        <v>42</v>
      </c>
      <c r="U7" s="1" t="str">
        <f t="shared" si="3"/>
        <v>Zone 42</v>
      </c>
      <c r="V7" s="1" t="s">
        <v>16</v>
      </c>
    </row>
    <row r="8" spans="1:25" x14ac:dyDescent="0.45">
      <c r="A8" s="5" t="s">
        <v>57</v>
      </c>
      <c r="B8" s="1" t="s">
        <v>17</v>
      </c>
      <c r="C8" s="1" t="s">
        <v>305</v>
      </c>
      <c r="F8" s="1">
        <v>7</v>
      </c>
      <c r="G8" s="1" t="str">
        <f t="shared" si="2"/>
        <v>Node 7</v>
      </c>
      <c r="H8" s="1" t="s">
        <v>14</v>
      </c>
      <c r="J8" s="1">
        <v>7</v>
      </c>
      <c r="K8" s="1">
        <v>7</v>
      </c>
      <c r="L8" s="1">
        <v>21</v>
      </c>
      <c r="M8" s="1">
        <f t="shared" si="0"/>
        <v>0</v>
      </c>
      <c r="N8" s="1" t="s">
        <v>20</v>
      </c>
      <c r="O8" s="1">
        <v>5</v>
      </c>
      <c r="P8" s="1">
        <f>VLOOKUP(N8,Info!$G$43:$I$46,3,FALSE)</f>
        <v>110</v>
      </c>
      <c r="Q8" s="1">
        <f>VLOOKUP(N8,Info!$G$43:$I$46,2,FALSE)</f>
        <v>3500</v>
      </c>
      <c r="R8" s="6">
        <f t="shared" si="1"/>
        <v>2.7272727272727275</v>
      </c>
      <c r="T8" s="1">
        <v>43</v>
      </c>
      <c r="U8" s="1" t="str">
        <f t="shared" si="3"/>
        <v>Zone 43</v>
      </c>
      <c r="V8" s="1" t="s">
        <v>16</v>
      </c>
    </row>
    <row r="9" spans="1:25" x14ac:dyDescent="0.45">
      <c r="A9" s="5" t="s">
        <v>59</v>
      </c>
      <c r="B9" s="1" t="s">
        <v>17</v>
      </c>
      <c r="C9" s="1" t="s">
        <v>306</v>
      </c>
      <c r="F9" s="1">
        <v>8</v>
      </c>
      <c r="G9" s="1" t="str">
        <f t="shared" si="2"/>
        <v>Node 8</v>
      </c>
      <c r="H9" s="1" t="s">
        <v>14</v>
      </c>
      <c r="J9" s="1">
        <v>8</v>
      </c>
      <c r="K9" s="1">
        <v>8</v>
      </c>
      <c r="L9" s="1">
        <v>24</v>
      </c>
      <c r="M9" s="1">
        <f t="shared" si="0"/>
        <v>0</v>
      </c>
      <c r="N9" s="1" t="s">
        <v>20</v>
      </c>
      <c r="O9" s="1">
        <v>5</v>
      </c>
      <c r="P9" s="1">
        <f>VLOOKUP(N9,Info!$G$43:$I$46,3,FALSE)</f>
        <v>110</v>
      </c>
      <c r="Q9" s="1">
        <f>VLOOKUP(N9,Info!$G$43:$I$46,2,FALSE)</f>
        <v>3500</v>
      </c>
      <c r="R9" s="6">
        <f t="shared" si="1"/>
        <v>2.7272727272727275</v>
      </c>
      <c r="T9" s="1">
        <v>31</v>
      </c>
      <c r="U9" s="1" t="str">
        <f t="shared" si="3"/>
        <v>Zone 31</v>
      </c>
      <c r="V9" s="1" t="s">
        <v>16</v>
      </c>
    </row>
    <row r="10" spans="1:25" x14ac:dyDescent="0.45">
      <c r="A10" s="5" t="s">
        <v>61</v>
      </c>
      <c r="B10" s="1" t="s">
        <v>17</v>
      </c>
      <c r="C10" s="1" t="s">
        <v>307</v>
      </c>
      <c r="F10" s="1">
        <v>9</v>
      </c>
      <c r="G10" s="1" t="str">
        <f t="shared" si="2"/>
        <v>Node 9</v>
      </c>
      <c r="H10" s="1" t="s">
        <v>14</v>
      </c>
      <c r="J10" s="1">
        <v>9</v>
      </c>
      <c r="K10" s="1">
        <v>9</v>
      </c>
      <c r="L10" s="1">
        <v>1</v>
      </c>
      <c r="M10" s="1">
        <f t="shared" si="0"/>
        <v>9</v>
      </c>
      <c r="N10" s="1" t="s">
        <v>15</v>
      </c>
      <c r="O10" s="1">
        <v>5</v>
      </c>
      <c r="P10" s="1">
        <f>VLOOKUP(N10,Info!$G$43:$I$46,3,FALSE)</f>
        <v>120</v>
      </c>
      <c r="Q10" s="1">
        <f>VLOOKUP(N10,Info!$G$43:$I$46,2,FALSE)</f>
        <v>4000</v>
      </c>
      <c r="R10" s="6">
        <f t="shared" si="1"/>
        <v>2.5</v>
      </c>
      <c r="T10" s="1">
        <v>33</v>
      </c>
      <c r="U10" s="1" t="str">
        <f t="shared" si="3"/>
        <v>Zone 33</v>
      </c>
      <c r="V10" s="1" t="s">
        <v>16</v>
      </c>
    </row>
    <row r="11" spans="1:25" x14ac:dyDescent="0.45">
      <c r="A11" s="5" t="s">
        <v>63</v>
      </c>
      <c r="B11" s="1" t="s">
        <v>17</v>
      </c>
      <c r="C11" s="1" t="s">
        <v>308</v>
      </c>
      <c r="F11" s="1">
        <v>10</v>
      </c>
      <c r="G11" s="1" t="str">
        <f t="shared" si="2"/>
        <v>Node 10</v>
      </c>
      <c r="H11" s="1" t="s">
        <v>14</v>
      </c>
      <c r="J11" s="1">
        <v>10</v>
      </c>
      <c r="K11" s="1">
        <v>9</v>
      </c>
      <c r="L11" s="1">
        <v>10</v>
      </c>
      <c r="M11" s="1">
        <f t="shared" si="0"/>
        <v>9</v>
      </c>
      <c r="N11" s="1" t="s">
        <v>15</v>
      </c>
      <c r="O11" s="1">
        <v>2</v>
      </c>
      <c r="P11" s="1">
        <f>VLOOKUP(N11,Info!$G$43:$I$46,3,FALSE)</f>
        <v>120</v>
      </c>
      <c r="Q11" s="1">
        <f>VLOOKUP(N11,Info!$G$43:$I$46,2,FALSE)</f>
        <v>4000</v>
      </c>
      <c r="R11" s="6">
        <f t="shared" si="1"/>
        <v>1</v>
      </c>
      <c r="T11" s="1">
        <v>30</v>
      </c>
      <c r="U11" s="1" t="str">
        <f t="shared" si="3"/>
        <v>Zone 30</v>
      </c>
      <c r="V11" s="1" t="s">
        <v>16</v>
      </c>
    </row>
    <row r="12" spans="1:25" x14ac:dyDescent="0.45">
      <c r="A12" s="5" t="s">
        <v>64</v>
      </c>
      <c r="B12" s="1" t="s">
        <v>17</v>
      </c>
      <c r="C12" s="1" t="s">
        <v>309</v>
      </c>
      <c r="F12" s="1">
        <v>11</v>
      </c>
      <c r="G12" s="1" t="str">
        <f t="shared" si="2"/>
        <v>Node 11</v>
      </c>
      <c r="H12" s="1" t="s">
        <v>14</v>
      </c>
      <c r="J12" s="1">
        <v>11</v>
      </c>
      <c r="K12" s="1">
        <v>9</v>
      </c>
      <c r="L12" s="1">
        <v>24</v>
      </c>
      <c r="M12" s="1">
        <f t="shared" si="0"/>
        <v>9</v>
      </c>
      <c r="N12" s="1" t="s">
        <v>15</v>
      </c>
      <c r="O12" s="1">
        <v>6</v>
      </c>
      <c r="P12" s="1">
        <f>VLOOKUP(N12,Info!$G$43:$I$46,3,FALSE)</f>
        <v>120</v>
      </c>
      <c r="Q12" s="1">
        <f>VLOOKUP(N12,Info!$G$43:$I$46,2,FALSE)</f>
        <v>4000</v>
      </c>
      <c r="R12" s="6">
        <f t="shared" si="1"/>
        <v>3</v>
      </c>
      <c r="T12" s="1">
        <v>18</v>
      </c>
      <c r="U12" s="1" t="str">
        <f t="shared" si="3"/>
        <v>Zone 18</v>
      </c>
      <c r="V12" s="1" t="s">
        <v>16</v>
      </c>
    </row>
    <row r="13" spans="1:25" x14ac:dyDescent="0.45">
      <c r="A13" s="5" t="s">
        <v>66</v>
      </c>
      <c r="B13" s="1" t="s">
        <v>17</v>
      </c>
      <c r="C13" s="1" t="s">
        <v>310</v>
      </c>
      <c r="F13" s="1">
        <v>12</v>
      </c>
      <c r="G13" s="1" t="str">
        <f t="shared" si="2"/>
        <v>Node 12</v>
      </c>
      <c r="H13" s="1" t="s">
        <v>14</v>
      </c>
      <c r="J13" s="1">
        <v>12</v>
      </c>
      <c r="K13" s="1">
        <v>10</v>
      </c>
      <c r="L13" s="1">
        <v>2</v>
      </c>
      <c r="M13" s="1">
        <f t="shared" si="0"/>
        <v>0</v>
      </c>
      <c r="N13" s="1" t="s">
        <v>20</v>
      </c>
      <c r="O13" s="1">
        <v>5</v>
      </c>
      <c r="P13" s="1">
        <f>VLOOKUP(N13,Info!$G$43:$I$46,3,FALSE)</f>
        <v>110</v>
      </c>
      <c r="Q13" s="1">
        <f>VLOOKUP(N13,Info!$G$43:$I$46,2,FALSE)</f>
        <v>3500</v>
      </c>
      <c r="R13" s="6">
        <f t="shared" si="1"/>
        <v>2.7272727272727275</v>
      </c>
      <c r="T13" s="1">
        <v>40</v>
      </c>
      <c r="U13" s="1" t="str">
        <f t="shared" si="3"/>
        <v>Zone 40</v>
      </c>
      <c r="V13" s="1" t="s">
        <v>16</v>
      </c>
    </row>
    <row r="14" spans="1:25" x14ac:dyDescent="0.45">
      <c r="A14" s="5" t="s">
        <v>68</v>
      </c>
      <c r="B14" s="1" t="s">
        <v>17</v>
      </c>
      <c r="C14" s="1" t="s">
        <v>311</v>
      </c>
      <c r="F14" s="1">
        <v>13</v>
      </c>
      <c r="G14" s="1" t="str">
        <f t="shared" si="2"/>
        <v>Node 13</v>
      </c>
      <c r="H14" s="1" t="s">
        <v>14</v>
      </c>
      <c r="J14" s="1">
        <v>13</v>
      </c>
      <c r="K14" s="1">
        <v>10</v>
      </c>
      <c r="L14" s="1">
        <v>9</v>
      </c>
      <c r="M14" s="1">
        <f t="shared" si="0"/>
        <v>0</v>
      </c>
      <c r="N14" s="1" t="s">
        <v>15</v>
      </c>
      <c r="O14" s="1">
        <v>2</v>
      </c>
      <c r="P14" s="1">
        <f>VLOOKUP(N14,Info!$G$43:$I$46,3,FALSE)</f>
        <v>120</v>
      </c>
      <c r="Q14" s="1">
        <f>VLOOKUP(N14,Info!$G$43:$I$46,2,FALSE)</f>
        <v>4000</v>
      </c>
      <c r="R14" s="6">
        <f t="shared" si="1"/>
        <v>1</v>
      </c>
    </row>
    <row r="15" spans="1:25" x14ac:dyDescent="0.45">
      <c r="A15" s="5" t="s">
        <v>70</v>
      </c>
      <c r="B15" s="1" t="s">
        <v>17</v>
      </c>
      <c r="C15" s="1" t="s">
        <v>312</v>
      </c>
      <c r="F15" s="1">
        <v>14</v>
      </c>
      <c r="G15" s="1" t="str">
        <f t="shared" si="2"/>
        <v>Node 14</v>
      </c>
      <c r="H15" s="1" t="s">
        <v>14</v>
      </c>
      <c r="J15" s="1">
        <v>14</v>
      </c>
      <c r="K15" s="1">
        <v>10</v>
      </c>
      <c r="L15" s="1">
        <v>11</v>
      </c>
      <c r="M15" s="1">
        <f t="shared" si="0"/>
        <v>0</v>
      </c>
      <c r="N15" s="1" t="s">
        <v>15</v>
      </c>
      <c r="O15" s="1">
        <v>5</v>
      </c>
      <c r="P15" s="1">
        <f>VLOOKUP(N15,Info!$G$43:$I$46,3,FALSE)</f>
        <v>120</v>
      </c>
      <c r="Q15" s="1">
        <f>VLOOKUP(N15,Info!$G$43:$I$46,2,FALSE)</f>
        <v>4000</v>
      </c>
      <c r="R15" s="6">
        <f t="shared" si="1"/>
        <v>2.5</v>
      </c>
    </row>
    <row r="16" spans="1:25" x14ac:dyDescent="0.45">
      <c r="A16" s="5" t="s">
        <v>72</v>
      </c>
      <c r="B16" s="1" t="s">
        <v>17</v>
      </c>
      <c r="C16" s="1" t="s">
        <v>313</v>
      </c>
      <c r="F16" s="1">
        <v>15</v>
      </c>
      <c r="G16" s="1" t="str">
        <f t="shared" si="2"/>
        <v>Node 15</v>
      </c>
      <c r="H16" s="1" t="s">
        <v>14</v>
      </c>
      <c r="J16" s="1">
        <v>15</v>
      </c>
      <c r="K16" s="1">
        <v>10</v>
      </c>
      <c r="L16" s="1">
        <v>25</v>
      </c>
      <c r="M16" s="1">
        <f t="shared" si="0"/>
        <v>0</v>
      </c>
      <c r="N16" s="1" t="s">
        <v>31</v>
      </c>
      <c r="O16" s="1">
        <v>7</v>
      </c>
      <c r="P16" s="1">
        <f>VLOOKUP(N16,Info!$G$43:$I$46,3,FALSE)</f>
        <v>70</v>
      </c>
      <c r="Q16" s="1">
        <f>VLOOKUP(N16,Info!$G$43:$I$46,2,FALSE)</f>
        <v>2000</v>
      </c>
      <c r="R16" s="6">
        <f t="shared" si="1"/>
        <v>6</v>
      </c>
    </row>
    <row r="17" spans="1:18" x14ac:dyDescent="0.45">
      <c r="A17" s="5" t="s">
        <v>73</v>
      </c>
      <c r="B17" s="1" t="s">
        <v>33</v>
      </c>
      <c r="C17" s="1" t="s">
        <v>314</v>
      </c>
      <c r="D17" s="1">
        <v>12</v>
      </c>
      <c r="F17" s="1">
        <v>16</v>
      </c>
      <c r="G17" s="1" t="str">
        <f t="shared" si="2"/>
        <v>Node 16</v>
      </c>
      <c r="H17" s="1" t="s">
        <v>14</v>
      </c>
      <c r="J17" s="1">
        <v>16</v>
      </c>
      <c r="K17" s="1">
        <v>11</v>
      </c>
      <c r="L17" s="1">
        <v>10</v>
      </c>
      <c r="M17" s="1">
        <f t="shared" si="0"/>
        <v>0</v>
      </c>
      <c r="N17" s="1" t="s">
        <v>15</v>
      </c>
      <c r="O17" s="1">
        <v>5</v>
      </c>
      <c r="P17" s="1">
        <f>VLOOKUP(N17,Info!$G$43:$I$46,3,FALSE)</f>
        <v>120</v>
      </c>
      <c r="Q17" s="1">
        <f>VLOOKUP(N17,Info!$G$43:$I$46,2,FALSE)</f>
        <v>4000</v>
      </c>
      <c r="R17" s="6">
        <f t="shared" si="1"/>
        <v>2.5</v>
      </c>
    </row>
    <row r="18" spans="1:18" x14ac:dyDescent="0.45">
      <c r="A18" s="5" t="s">
        <v>75</v>
      </c>
      <c r="B18" s="1" t="s">
        <v>33</v>
      </c>
      <c r="C18" s="1" t="s">
        <v>315</v>
      </c>
      <c r="D18" s="1">
        <v>44</v>
      </c>
      <c r="F18" s="1">
        <v>17</v>
      </c>
      <c r="G18" s="1" t="str">
        <f t="shared" si="2"/>
        <v>Node 17</v>
      </c>
      <c r="H18" s="1" t="s">
        <v>14</v>
      </c>
      <c r="J18" s="1">
        <v>17</v>
      </c>
      <c r="K18" s="1">
        <v>11</v>
      </c>
      <c r="L18" s="1">
        <v>12</v>
      </c>
      <c r="M18" s="1">
        <f t="shared" si="0"/>
        <v>0</v>
      </c>
      <c r="N18" s="1" t="s">
        <v>15</v>
      </c>
      <c r="O18" s="1">
        <v>6</v>
      </c>
      <c r="P18" s="1">
        <f>VLOOKUP(N18,Info!$G$43:$I$46,3,FALSE)</f>
        <v>120</v>
      </c>
      <c r="Q18" s="1">
        <f>VLOOKUP(N18,Info!$G$43:$I$46,2,FALSE)</f>
        <v>4000</v>
      </c>
      <c r="R18" s="6">
        <f t="shared" si="1"/>
        <v>3</v>
      </c>
    </row>
    <row r="19" spans="1:18" x14ac:dyDescent="0.45">
      <c r="A19" s="5" t="s">
        <v>77</v>
      </c>
      <c r="B19" s="1" t="s">
        <v>33</v>
      </c>
      <c r="C19" s="1" t="s">
        <v>316</v>
      </c>
      <c r="D19" s="1">
        <v>132</v>
      </c>
      <c r="F19" s="1">
        <v>18</v>
      </c>
      <c r="G19" s="1" t="str">
        <f t="shared" si="2"/>
        <v>Node 18</v>
      </c>
      <c r="H19" s="1" t="s">
        <v>14</v>
      </c>
      <c r="J19" s="1">
        <v>18</v>
      </c>
      <c r="K19" s="1">
        <v>11</v>
      </c>
      <c r="L19" s="1">
        <v>26</v>
      </c>
      <c r="M19" s="1">
        <f t="shared" si="0"/>
        <v>0</v>
      </c>
      <c r="N19" s="1" t="s">
        <v>31</v>
      </c>
      <c r="O19" s="1">
        <v>9</v>
      </c>
      <c r="P19" s="1">
        <f>VLOOKUP(N19,Info!$G$43:$I$46,3,FALSE)</f>
        <v>70</v>
      </c>
      <c r="Q19" s="1">
        <f>VLOOKUP(N19,Info!$G$43:$I$46,2,FALSE)</f>
        <v>2000</v>
      </c>
      <c r="R19" s="6">
        <f t="shared" si="1"/>
        <v>7.7142857142857135</v>
      </c>
    </row>
    <row r="20" spans="1:18" x14ac:dyDescent="0.45">
      <c r="F20" s="1">
        <v>19</v>
      </c>
      <c r="G20" s="1" t="str">
        <f t="shared" si="2"/>
        <v>Node 19</v>
      </c>
      <c r="H20" s="1" t="s">
        <v>14</v>
      </c>
      <c r="J20" s="1">
        <v>19</v>
      </c>
      <c r="K20" s="1">
        <v>12</v>
      </c>
      <c r="L20" s="1">
        <v>11</v>
      </c>
      <c r="M20" s="1">
        <f t="shared" si="0"/>
        <v>12</v>
      </c>
      <c r="N20" s="1" t="s">
        <v>15</v>
      </c>
      <c r="O20" s="1">
        <v>6</v>
      </c>
      <c r="P20" s="1">
        <f>VLOOKUP(N20,Info!$G$43:$I$46,3,FALSE)</f>
        <v>120</v>
      </c>
      <c r="Q20" s="1">
        <f>VLOOKUP(N20,Info!$G$43:$I$46,2,FALSE)</f>
        <v>4000</v>
      </c>
      <c r="R20" s="6">
        <f t="shared" si="1"/>
        <v>3</v>
      </c>
    </row>
    <row r="21" spans="1:18" ht="14.55" customHeight="1" x14ac:dyDescent="0.45">
      <c r="F21" s="1">
        <v>20</v>
      </c>
      <c r="G21" s="1" t="str">
        <f t="shared" si="2"/>
        <v>Node 20</v>
      </c>
      <c r="H21" s="1" t="s">
        <v>14</v>
      </c>
      <c r="J21" s="1">
        <v>20</v>
      </c>
      <c r="K21" s="1">
        <v>12</v>
      </c>
      <c r="L21" s="1">
        <v>13</v>
      </c>
      <c r="M21" s="1">
        <f t="shared" si="0"/>
        <v>12</v>
      </c>
      <c r="N21" s="1" t="s">
        <v>15</v>
      </c>
      <c r="O21" s="1">
        <v>5</v>
      </c>
      <c r="P21" s="1">
        <f>VLOOKUP(N21,Info!$G$43:$I$46,3,FALSE)</f>
        <v>120</v>
      </c>
      <c r="Q21" s="1">
        <f>VLOOKUP(N21,Info!$G$43:$I$46,2,FALSE)</f>
        <v>4000</v>
      </c>
      <c r="R21" s="6">
        <f t="shared" si="1"/>
        <v>2.5</v>
      </c>
    </row>
    <row r="22" spans="1:18" x14ac:dyDescent="0.45">
      <c r="F22" s="1">
        <v>21</v>
      </c>
      <c r="G22" s="1" t="str">
        <f t="shared" si="2"/>
        <v>Node 21</v>
      </c>
      <c r="H22" s="1" t="s">
        <v>14</v>
      </c>
      <c r="J22" s="1">
        <v>21</v>
      </c>
      <c r="K22" s="1">
        <v>12</v>
      </c>
      <c r="L22" s="1">
        <v>27</v>
      </c>
      <c r="M22" s="1">
        <f t="shared" si="0"/>
        <v>12</v>
      </c>
      <c r="N22" s="1" t="s">
        <v>26</v>
      </c>
      <c r="O22" s="1">
        <v>8</v>
      </c>
      <c r="P22" s="1">
        <f>VLOOKUP(N22,Info!$G$43:$I$46,3,FALSE)</f>
        <v>90</v>
      </c>
      <c r="Q22" s="1">
        <f>VLOOKUP(N22,Info!$G$43:$I$46,2,FALSE)</f>
        <v>3000</v>
      </c>
      <c r="R22" s="6">
        <f t="shared" si="1"/>
        <v>5.3333333333333339</v>
      </c>
    </row>
    <row r="23" spans="1:18" x14ac:dyDescent="0.45">
      <c r="F23" s="1">
        <v>22</v>
      </c>
      <c r="G23" s="1" t="str">
        <f t="shared" si="2"/>
        <v>Node 22</v>
      </c>
      <c r="H23" s="1" t="s">
        <v>14</v>
      </c>
      <c r="J23" s="1">
        <v>22</v>
      </c>
      <c r="K23" s="1">
        <v>13</v>
      </c>
      <c r="L23" s="1">
        <v>12</v>
      </c>
      <c r="M23" s="1">
        <f t="shared" si="0"/>
        <v>0</v>
      </c>
      <c r="N23" s="1" t="s">
        <v>15</v>
      </c>
      <c r="O23" s="1">
        <v>5</v>
      </c>
      <c r="P23" s="1">
        <f>VLOOKUP(N23,Info!$G$43:$I$46,3,FALSE)</f>
        <v>120</v>
      </c>
      <c r="Q23" s="1">
        <f>VLOOKUP(N23,Info!$G$43:$I$46,2,FALSE)</f>
        <v>4000</v>
      </c>
      <c r="R23" s="6">
        <f t="shared" si="1"/>
        <v>2.5</v>
      </c>
    </row>
    <row r="24" spans="1:18" x14ac:dyDescent="0.45">
      <c r="F24" s="1">
        <v>23</v>
      </c>
      <c r="G24" s="1" t="str">
        <f t="shared" si="2"/>
        <v>Node 23</v>
      </c>
      <c r="H24" s="1" t="s">
        <v>14</v>
      </c>
      <c r="J24" s="1">
        <v>23</v>
      </c>
      <c r="K24" s="1">
        <v>13</v>
      </c>
      <c r="L24" s="1">
        <v>14</v>
      </c>
      <c r="M24" s="1">
        <f t="shared" si="0"/>
        <v>0</v>
      </c>
      <c r="N24" s="1" t="s">
        <v>15</v>
      </c>
      <c r="O24" s="1">
        <v>7</v>
      </c>
      <c r="P24" s="1">
        <f>VLOOKUP(N24,Info!$G$43:$I$46,3,FALSE)</f>
        <v>120</v>
      </c>
      <c r="Q24" s="1">
        <f>VLOOKUP(N24,Info!$G$43:$I$46,2,FALSE)</f>
        <v>4000</v>
      </c>
      <c r="R24" s="6">
        <f t="shared" si="1"/>
        <v>3.5</v>
      </c>
    </row>
    <row r="25" spans="1:18" x14ac:dyDescent="0.45">
      <c r="F25" s="1">
        <v>24</v>
      </c>
      <c r="G25" s="1" t="str">
        <f t="shared" si="2"/>
        <v>Node 24</v>
      </c>
      <c r="H25" s="1" t="s">
        <v>14</v>
      </c>
      <c r="J25" s="1">
        <v>24</v>
      </c>
      <c r="K25" s="1">
        <v>13</v>
      </c>
      <c r="L25" s="1">
        <v>29</v>
      </c>
      <c r="M25" s="1">
        <f t="shared" si="0"/>
        <v>0</v>
      </c>
      <c r="N25" s="1" t="s">
        <v>31</v>
      </c>
      <c r="O25" s="1">
        <v>8</v>
      </c>
      <c r="P25" s="1">
        <f>VLOOKUP(N25,Info!$G$43:$I$46,3,FALSE)</f>
        <v>70</v>
      </c>
      <c r="Q25" s="1">
        <f>VLOOKUP(N25,Info!$G$43:$I$46,2,FALSE)</f>
        <v>2000</v>
      </c>
      <c r="R25" s="6">
        <f t="shared" si="1"/>
        <v>6.8571428571428568</v>
      </c>
    </row>
    <row r="26" spans="1:18" x14ac:dyDescent="0.45">
      <c r="F26" s="1">
        <v>25</v>
      </c>
      <c r="G26" s="1" t="str">
        <f t="shared" si="2"/>
        <v>Node 25</v>
      </c>
      <c r="H26" s="1" t="s">
        <v>14</v>
      </c>
      <c r="J26" s="1">
        <v>25</v>
      </c>
      <c r="K26" s="1">
        <v>14</v>
      </c>
      <c r="L26" s="1">
        <v>3</v>
      </c>
      <c r="M26" s="1">
        <f t="shared" si="0"/>
        <v>0</v>
      </c>
      <c r="N26" s="1" t="s">
        <v>20</v>
      </c>
      <c r="O26" s="1">
        <v>5</v>
      </c>
      <c r="P26" s="1">
        <f>VLOOKUP(N26,Info!$G$43:$I$46,3,FALSE)</f>
        <v>110</v>
      </c>
      <c r="Q26" s="1">
        <f>VLOOKUP(N26,Info!$G$43:$I$46,2,FALSE)</f>
        <v>3500</v>
      </c>
      <c r="R26" s="6">
        <f t="shared" si="1"/>
        <v>2.7272727272727275</v>
      </c>
    </row>
    <row r="27" spans="1:18" x14ac:dyDescent="0.45">
      <c r="F27" s="1">
        <v>26</v>
      </c>
      <c r="G27" s="1" t="str">
        <f t="shared" si="2"/>
        <v>Node 26</v>
      </c>
      <c r="H27" s="1" t="s">
        <v>14</v>
      </c>
      <c r="J27" s="1">
        <v>26</v>
      </c>
      <c r="K27" s="1">
        <v>14</v>
      </c>
      <c r="L27" s="1">
        <v>13</v>
      </c>
      <c r="M27" s="1">
        <f t="shared" si="0"/>
        <v>0</v>
      </c>
      <c r="N27" s="1" t="s">
        <v>15</v>
      </c>
      <c r="O27" s="1">
        <v>7</v>
      </c>
      <c r="P27" s="1">
        <f>VLOOKUP(N27,Info!$G$43:$I$46,3,FALSE)</f>
        <v>120</v>
      </c>
      <c r="Q27" s="1">
        <f>VLOOKUP(N27,Info!$G$43:$I$46,2,FALSE)</f>
        <v>4000</v>
      </c>
      <c r="R27" s="6">
        <f t="shared" si="1"/>
        <v>3.5</v>
      </c>
    </row>
    <row r="28" spans="1:18" x14ac:dyDescent="0.45">
      <c r="F28" s="1">
        <v>27</v>
      </c>
      <c r="G28" s="1" t="str">
        <f t="shared" si="2"/>
        <v>Node 27</v>
      </c>
      <c r="H28" s="1" t="s">
        <v>14</v>
      </c>
      <c r="J28" s="1">
        <v>27</v>
      </c>
      <c r="K28" s="1">
        <v>14</v>
      </c>
      <c r="L28" s="1">
        <v>15</v>
      </c>
      <c r="M28" s="1">
        <f t="shared" si="0"/>
        <v>0</v>
      </c>
      <c r="N28" s="1" t="s">
        <v>15</v>
      </c>
      <c r="O28" s="1">
        <v>11</v>
      </c>
      <c r="P28" s="1">
        <f>VLOOKUP(N28,Info!$G$43:$I$46,3,FALSE)</f>
        <v>120</v>
      </c>
      <c r="Q28" s="1">
        <f>VLOOKUP(N28,Info!$G$43:$I$46,2,FALSE)</f>
        <v>4000</v>
      </c>
      <c r="R28" s="6">
        <f t="shared" si="1"/>
        <v>5.5</v>
      </c>
    </row>
    <row r="29" spans="1:18" x14ac:dyDescent="0.45">
      <c r="F29" s="1">
        <v>28</v>
      </c>
      <c r="G29" s="1" t="str">
        <f t="shared" si="2"/>
        <v>Node 28</v>
      </c>
      <c r="H29" s="1" t="s">
        <v>14</v>
      </c>
      <c r="J29" s="1">
        <v>28</v>
      </c>
      <c r="K29" s="1">
        <v>14</v>
      </c>
      <c r="L29" s="1">
        <v>30</v>
      </c>
      <c r="M29" s="1">
        <f t="shared" si="0"/>
        <v>0</v>
      </c>
      <c r="N29" s="1" t="s">
        <v>31</v>
      </c>
      <c r="O29" s="1">
        <v>8</v>
      </c>
      <c r="P29" s="1">
        <f>VLOOKUP(N29,Info!$G$43:$I$46,3,FALSE)</f>
        <v>70</v>
      </c>
      <c r="Q29" s="1">
        <f>VLOOKUP(N29,Info!$G$43:$I$46,2,FALSE)</f>
        <v>2000</v>
      </c>
      <c r="R29" s="6">
        <f t="shared" si="1"/>
        <v>6.8571428571428568</v>
      </c>
    </row>
    <row r="30" spans="1:18" x14ac:dyDescent="0.45">
      <c r="A30" s="25" t="s">
        <v>317</v>
      </c>
      <c r="B30" s="26"/>
      <c r="C30" s="26"/>
      <c r="D30" s="26"/>
      <c r="F30" s="1">
        <v>29</v>
      </c>
      <c r="G30" s="1" t="str">
        <f t="shared" si="2"/>
        <v>Node 29</v>
      </c>
      <c r="H30" s="1" t="s">
        <v>14</v>
      </c>
      <c r="J30" s="1">
        <v>29</v>
      </c>
      <c r="K30" s="1">
        <v>15</v>
      </c>
      <c r="L30" s="1">
        <v>14</v>
      </c>
      <c r="M30" s="1">
        <f t="shared" si="0"/>
        <v>0</v>
      </c>
      <c r="N30" s="1" t="s">
        <v>15</v>
      </c>
      <c r="O30" s="1">
        <v>11</v>
      </c>
      <c r="P30" s="1">
        <f>VLOOKUP(N30,Info!$G$43:$I$46,3,FALSE)</f>
        <v>120</v>
      </c>
      <c r="Q30" s="1">
        <f>VLOOKUP(N30,Info!$G$43:$I$46,2,FALSE)</f>
        <v>4000</v>
      </c>
      <c r="R30" s="6">
        <f t="shared" si="1"/>
        <v>5.5</v>
      </c>
    </row>
    <row r="31" spans="1:18" x14ac:dyDescent="0.45">
      <c r="A31" s="25"/>
      <c r="B31" s="26"/>
      <c r="C31" s="26"/>
      <c r="D31" s="26"/>
      <c r="F31" s="1">
        <v>30</v>
      </c>
      <c r="G31" s="1" t="str">
        <f t="shared" si="2"/>
        <v>Node 30</v>
      </c>
      <c r="H31" s="1" t="s">
        <v>14</v>
      </c>
      <c r="J31" s="1">
        <v>30</v>
      </c>
      <c r="K31" s="1">
        <v>15</v>
      </c>
      <c r="L31" s="1">
        <v>16</v>
      </c>
      <c r="M31" s="1">
        <f t="shared" si="0"/>
        <v>0</v>
      </c>
      <c r="N31" s="1" t="s">
        <v>15</v>
      </c>
      <c r="O31" s="1">
        <v>4</v>
      </c>
      <c r="P31" s="1">
        <f>VLOOKUP(N31,Info!$G$43:$I$46,3,FALSE)</f>
        <v>120</v>
      </c>
      <c r="Q31" s="1">
        <f>VLOOKUP(N31,Info!$G$43:$I$46,2,FALSE)</f>
        <v>4000</v>
      </c>
      <c r="R31" s="6">
        <f t="shared" si="1"/>
        <v>2</v>
      </c>
    </row>
    <row r="32" spans="1:18" x14ac:dyDescent="0.45">
      <c r="A32" s="25"/>
      <c r="B32" s="26"/>
      <c r="C32" s="26"/>
      <c r="D32" s="26"/>
      <c r="F32" s="1">
        <v>31</v>
      </c>
      <c r="G32" s="1" t="str">
        <f t="shared" si="2"/>
        <v>Node 31</v>
      </c>
      <c r="H32" s="1" t="s">
        <v>14</v>
      </c>
      <c r="J32" s="1">
        <v>31</v>
      </c>
      <c r="K32" s="1">
        <v>15</v>
      </c>
      <c r="L32" s="1">
        <v>30</v>
      </c>
      <c r="M32" s="1">
        <f t="shared" si="0"/>
        <v>0</v>
      </c>
      <c r="N32" s="1" t="s">
        <v>31</v>
      </c>
      <c r="O32" s="1">
        <v>9</v>
      </c>
      <c r="P32" s="1">
        <f>VLOOKUP(N32,Info!$G$43:$I$46,3,FALSE)</f>
        <v>70</v>
      </c>
      <c r="Q32" s="1">
        <f>VLOOKUP(N32,Info!$G$43:$I$46,2,FALSE)</f>
        <v>2000</v>
      </c>
      <c r="R32" s="6">
        <f t="shared" si="1"/>
        <v>7.7142857142857135</v>
      </c>
    </row>
    <row r="33" spans="1:18" x14ac:dyDescent="0.45">
      <c r="A33" s="25"/>
      <c r="B33" s="26"/>
      <c r="C33" s="26"/>
      <c r="D33" s="26"/>
      <c r="F33" s="1">
        <v>32</v>
      </c>
      <c r="G33" s="1" t="str">
        <f t="shared" si="2"/>
        <v>Node 32</v>
      </c>
      <c r="H33" s="1" t="s">
        <v>14</v>
      </c>
      <c r="J33" s="1">
        <v>32</v>
      </c>
      <c r="K33" s="1">
        <v>16</v>
      </c>
      <c r="L33" s="1">
        <v>4</v>
      </c>
      <c r="M33" s="1">
        <f t="shared" si="0"/>
        <v>0</v>
      </c>
      <c r="N33" s="1" t="s">
        <v>20</v>
      </c>
      <c r="O33" s="1">
        <v>5</v>
      </c>
      <c r="P33" s="1">
        <f>VLOOKUP(N33,Info!$G$43:$I$46,3,FALSE)</f>
        <v>110</v>
      </c>
      <c r="Q33" s="1">
        <f>VLOOKUP(N33,Info!$G$43:$I$46,2,FALSE)</f>
        <v>3500</v>
      </c>
      <c r="R33" s="6">
        <f t="shared" si="1"/>
        <v>2.7272727272727275</v>
      </c>
    </row>
    <row r="34" spans="1:18" x14ac:dyDescent="0.45">
      <c r="F34" s="1">
        <v>33</v>
      </c>
      <c r="G34" s="1" t="str">
        <f t="shared" si="2"/>
        <v>Node 33</v>
      </c>
      <c r="H34" s="1" t="s">
        <v>14</v>
      </c>
      <c r="J34" s="1">
        <v>33</v>
      </c>
      <c r="K34" s="1">
        <v>16</v>
      </c>
      <c r="L34" s="1">
        <v>15</v>
      </c>
      <c r="M34" s="1">
        <f t="shared" si="0"/>
        <v>0</v>
      </c>
      <c r="N34" s="1" t="s">
        <v>15</v>
      </c>
      <c r="O34" s="1">
        <v>4</v>
      </c>
      <c r="P34" s="1">
        <f>VLOOKUP(N34,Info!$G$43:$I$46,3,FALSE)</f>
        <v>120</v>
      </c>
      <c r="Q34" s="1">
        <f>VLOOKUP(N34,Info!$G$43:$I$46,2,FALSE)</f>
        <v>4000</v>
      </c>
      <c r="R34" s="6">
        <f t="shared" si="1"/>
        <v>2</v>
      </c>
    </row>
    <row r="35" spans="1:18" x14ac:dyDescent="0.45">
      <c r="F35" s="1">
        <v>34</v>
      </c>
      <c r="G35" s="1" t="str">
        <f t="shared" si="2"/>
        <v>Node 34</v>
      </c>
      <c r="H35" s="1" t="s">
        <v>14</v>
      </c>
      <c r="J35" s="1">
        <v>34</v>
      </c>
      <c r="K35" s="1">
        <v>16</v>
      </c>
      <c r="L35" s="1">
        <v>17</v>
      </c>
      <c r="M35" s="1">
        <f t="shared" si="0"/>
        <v>0</v>
      </c>
      <c r="N35" s="1" t="s">
        <v>15</v>
      </c>
      <c r="O35" s="1">
        <v>9</v>
      </c>
      <c r="P35" s="1">
        <f>VLOOKUP(N35,Info!$G$43:$I$46,3,FALSE)</f>
        <v>120</v>
      </c>
      <c r="Q35" s="1">
        <f>VLOOKUP(N35,Info!$G$43:$I$46,2,FALSE)</f>
        <v>4000</v>
      </c>
      <c r="R35" s="6">
        <f t="shared" si="1"/>
        <v>4.5</v>
      </c>
    </row>
    <row r="36" spans="1:18" x14ac:dyDescent="0.45">
      <c r="F36" s="1">
        <v>35</v>
      </c>
      <c r="G36" s="1" t="str">
        <f t="shared" si="2"/>
        <v>Node 35</v>
      </c>
      <c r="H36" s="1" t="s">
        <v>14</v>
      </c>
      <c r="J36" s="1">
        <v>35</v>
      </c>
      <c r="K36" s="1">
        <v>16</v>
      </c>
      <c r="L36" s="1">
        <v>31</v>
      </c>
      <c r="M36" s="1">
        <f t="shared" si="0"/>
        <v>0</v>
      </c>
      <c r="N36" s="1" t="s">
        <v>20</v>
      </c>
      <c r="O36" s="1">
        <v>7</v>
      </c>
      <c r="P36" s="1">
        <f>VLOOKUP(N36,Info!$G$43:$I$46,3,FALSE)</f>
        <v>110</v>
      </c>
      <c r="Q36" s="1">
        <f>VLOOKUP(N36,Info!$G$43:$I$46,2,FALSE)</f>
        <v>3500</v>
      </c>
      <c r="R36" s="6">
        <f t="shared" si="1"/>
        <v>3.8181818181818179</v>
      </c>
    </row>
    <row r="37" spans="1:18" x14ac:dyDescent="0.45">
      <c r="F37" s="1">
        <v>36</v>
      </c>
      <c r="G37" s="1" t="str">
        <f t="shared" si="2"/>
        <v>Node 36</v>
      </c>
      <c r="H37" s="1" t="s">
        <v>14</v>
      </c>
      <c r="J37" s="1">
        <v>36</v>
      </c>
      <c r="K37" s="1">
        <v>17</v>
      </c>
      <c r="L37" s="1">
        <v>16</v>
      </c>
      <c r="M37" s="1">
        <f t="shared" si="0"/>
        <v>0</v>
      </c>
      <c r="N37" s="1" t="s">
        <v>15</v>
      </c>
      <c r="O37" s="1">
        <v>9</v>
      </c>
      <c r="P37" s="1">
        <f>VLOOKUP(N37,Info!$G$43:$I$46,3,FALSE)</f>
        <v>120</v>
      </c>
      <c r="Q37" s="1">
        <f>VLOOKUP(N37,Info!$G$43:$I$46,2,FALSE)</f>
        <v>4000</v>
      </c>
      <c r="R37" s="6">
        <f t="shared" si="1"/>
        <v>4.5</v>
      </c>
    </row>
    <row r="38" spans="1:18" x14ac:dyDescent="0.45">
      <c r="F38" s="1">
        <v>37</v>
      </c>
      <c r="G38" s="1" t="str">
        <f t="shared" si="2"/>
        <v>Node 37</v>
      </c>
      <c r="H38" s="1" t="s">
        <v>14</v>
      </c>
      <c r="J38" s="1">
        <v>37</v>
      </c>
      <c r="K38" s="1">
        <v>17</v>
      </c>
      <c r="L38" s="1">
        <v>18</v>
      </c>
      <c r="M38" s="1">
        <f t="shared" si="0"/>
        <v>0</v>
      </c>
      <c r="N38" s="1" t="s">
        <v>15</v>
      </c>
      <c r="O38" s="1">
        <v>17</v>
      </c>
      <c r="P38" s="1">
        <f>VLOOKUP(N38,Info!$G$43:$I$46,3,FALSE)</f>
        <v>120</v>
      </c>
      <c r="Q38" s="1">
        <f>VLOOKUP(N38,Info!$G$43:$I$46,2,FALSE)</f>
        <v>4000</v>
      </c>
      <c r="R38" s="6">
        <f t="shared" si="1"/>
        <v>8.5</v>
      </c>
    </row>
    <row r="39" spans="1:18" x14ac:dyDescent="0.45">
      <c r="F39" s="1">
        <v>38</v>
      </c>
      <c r="G39" s="1" t="str">
        <f t="shared" si="2"/>
        <v>Node 38</v>
      </c>
      <c r="H39" s="1" t="s">
        <v>14</v>
      </c>
      <c r="J39" s="1">
        <v>38</v>
      </c>
      <c r="K39" s="1">
        <v>17</v>
      </c>
      <c r="L39" s="1">
        <v>32</v>
      </c>
      <c r="M39" s="1">
        <f t="shared" si="0"/>
        <v>0</v>
      </c>
      <c r="N39" s="1" t="s">
        <v>26</v>
      </c>
      <c r="O39" s="1">
        <v>2</v>
      </c>
      <c r="P39" s="1">
        <f>VLOOKUP(N39,Info!$G$43:$I$46,3,FALSE)</f>
        <v>90</v>
      </c>
      <c r="Q39" s="1">
        <f>VLOOKUP(N39,Info!$G$43:$I$46,2,FALSE)</f>
        <v>3000</v>
      </c>
      <c r="R39" s="6">
        <f t="shared" si="1"/>
        <v>1.3333333333333335</v>
      </c>
    </row>
    <row r="40" spans="1:18" x14ac:dyDescent="0.45">
      <c r="F40" s="1">
        <v>39</v>
      </c>
      <c r="G40" s="1" t="str">
        <f t="shared" si="2"/>
        <v>Node 39</v>
      </c>
      <c r="H40" s="1" t="s">
        <v>14</v>
      </c>
      <c r="J40" s="1">
        <v>39</v>
      </c>
      <c r="K40" s="1">
        <v>18</v>
      </c>
      <c r="L40" s="1">
        <v>5</v>
      </c>
      <c r="M40" s="1">
        <f t="shared" si="0"/>
        <v>18</v>
      </c>
      <c r="N40" s="1" t="s">
        <v>20</v>
      </c>
      <c r="O40" s="1">
        <v>5</v>
      </c>
      <c r="P40" s="1">
        <f>VLOOKUP(N40,Info!$G$43:$I$46,3,FALSE)</f>
        <v>110</v>
      </c>
      <c r="Q40" s="1">
        <f>VLOOKUP(N40,Info!$G$43:$I$46,2,FALSE)</f>
        <v>3500</v>
      </c>
      <c r="R40" s="6">
        <f t="shared" si="1"/>
        <v>2.7272727272727275</v>
      </c>
    </row>
    <row r="41" spans="1:18" x14ac:dyDescent="0.45">
      <c r="F41" s="1">
        <v>40</v>
      </c>
      <c r="G41" s="1" t="str">
        <f t="shared" si="2"/>
        <v>Node 40</v>
      </c>
      <c r="H41" s="1" t="s">
        <v>14</v>
      </c>
      <c r="J41" s="1">
        <v>40</v>
      </c>
      <c r="K41" s="1">
        <v>18</v>
      </c>
      <c r="L41" s="1">
        <v>17</v>
      </c>
      <c r="M41" s="1">
        <f t="shared" si="0"/>
        <v>18</v>
      </c>
      <c r="N41" s="1" t="s">
        <v>15</v>
      </c>
      <c r="O41" s="1">
        <v>17</v>
      </c>
      <c r="P41" s="1">
        <f>VLOOKUP(N41,Info!$G$43:$I$46,3,FALSE)</f>
        <v>120</v>
      </c>
      <c r="Q41" s="1">
        <f>VLOOKUP(N41,Info!$G$43:$I$46,2,FALSE)</f>
        <v>4000</v>
      </c>
      <c r="R41" s="6">
        <f t="shared" si="1"/>
        <v>8.5</v>
      </c>
    </row>
    <row r="42" spans="1:18" x14ac:dyDescent="0.45">
      <c r="F42" s="1">
        <v>41</v>
      </c>
      <c r="G42" s="1" t="str">
        <f t="shared" si="2"/>
        <v>Node 41</v>
      </c>
      <c r="H42" s="1" t="s">
        <v>14</v>
      </c>
      <c r="J42" s="1">
        <v>41</v>
      </c>
      <c r="K42" s="1">
        <v>18</v>
      </c>
      <c r="L42" s="1">
        <v>19</v>
      </c>
      <c r="M42" s="1">
        <f t="shared" si="0"/>
        <v>18</v>
      </c>
      <c r="N42" s="1" t="s">
        <v>15</v>
      </c>
      <c r="O42" s="1">
        <v>6</v>
      </c>
      <c r="P42" s="1">
        <f>VLOOKUP(N42,Info!$G$43:$I$46,3,FALSE)</f>
        <v>120</v>
      </c>
      <c r="Q42" s="1">
        <f>VLOOKUP(N42,Info!$G$43:$I$46,2,FALSE)</f>
        <v>4000</v>
      </c>
      <c r="R42" s="6">
        <f t="shared" si="1"/>
        <v>3</v>
      </c>
    </row>
    <row r="43" spans="1:18" x14ac:dyDescent="0.45">
      <c r="F43" s="1">
        <v>42</v>
      </c>
      <c r="G43" s="1" t="str">
        <f t="shared" si="2"/>
        <v>Node 42</v>
      </c>
      <c r="H43" s="1" t="s">
        <v>14</v>
      </c>
      <c r="J43" s="1">
        <v>42</v>
      </c>
      <c r="K43" s="1">
        <v>18</v>
      </c>
      <c r="L43" s="1">
        <v>33</v>
      </c>
      <c r="M43" s="1">
        <f t="shared" si="0"/>
        <v>18</v>
      </c>
      <c r="N43" s="1" t="s">
        <v>20</v>
      </c>
      <c r="O43" s="1">
        <v>4</v>
      </c>
      <c r="P43" s="1">
        <f>VLOOKUP(N43,Info!$G$43:$I$46,3,FALSE)</f>
        <v>110</v>
      </c>
      <c r="Q43" s="1">
        <f>VLOOKUP(N43,Info!$G$43:$I$46,2,FALSE)</f>
        <v>3500</v>
      </c>
      <c r="R43" s="6">
        <f t="shared" si="1"/>
        <v>2.1818181818181817</v>
      </c>
    </row>
    <row r="44" spans="1:18" x14ac:dyDescent="0.45">
      <c r="F44" s="1">
        <v>43</v>
      </c>
      <c r="G44" s="1" t="str">
        <f t="shared" si="2"/>
        <v>Node 43</v>
      </c>
      <c r="H44" s="1" t="s">
        <v>14</v>
      </c>
      <c r="J44" s="1">
        <v>43</v>
      </c>
      <c r="K44" s="1">
        <v>19</v>
      </c>
      <c r="L44" s="1">
        <v>6</v>
      </c>
      <c r="M44" s="1">
        <f t="shared" si="0"/>
        <v>0</v>
      </c>
      <c r="N44" s="1" t="s">
        <v>15</v>
      </c>
      <c r="O44" s="1">
        <v>5</v>
      </c>
      <c r="P44" s="1">
        <f>VLOOKUP(N44,Info!$G$43:$I$46,3,FALSE)</f>
        <v>120</v>
      </c>
      <c r="Q44" s="1">
        <f>VLOOKUP(N44,Info!$G$43:$I$46,2,FALSE)</f>
        <v>4000</v>
      </c>
      <c r="R44" s="6">
        <f t="shared" si="1"/>
        <v>2.5</v>
      </c>
    </row>
    <row r="45" spans="1:18" x14ac:dyDescent="0.45">
      <c r="F45" s="1">
        <v>44</v>
      </c>
      <c r="G45" s="1" t="str">
        <f t="shared" si="2"/>
        <v>Node 44</v>
      </c>
      <c r="H45" s="1" t="s">
        <v>14</v>
      </c>
      <c r="J45" s="1">
        <v>44</v>
      </c>
      <c r="K45" s="1">
        <v>19</v>
      </c>
      <c r="L45" s="1">
        <v>18</v>
      </c>
      <c r="M45" s="1">
        <f t="shared" si="0"/>
        <v>0</v>
      </c>
      <c r="N45" s="1" t="s">
        <v>15</v>
      </c>
      <c r="O45" s="1">
        <v>6</v>
      </c>
      <c r="P45" s="1">
        <f>VLOOKUP(N45,Info!$G$43:$I$46,3,FALSE)</f>
        <v>120</v>
      </c>
      <c r="Q45" s="1">
        <f>VLOOKUP(N45,Info!$G$43:$I$46,2,FALSE)</f>
        <v>4000</v>
      </c>
      <c r="R45" s="6">
        <f t="shared" si="1"/>
        <v>3</v>
      </c>
    </row>
    <row r="46" spans="1:18" x14ac:dyDescent="0.45">
      <c r="J46" s="1">
        <v>45</v>
      </c>
      <c r="K46" s="1">
        <v>19</v>
      </c>
      <c r="L46" s="1">
        <v>20</v>
      </c>
      <c r="M46" s="1">
        <f t="shared" si="0"/>
        <v>0</v>
      </c>
      <c r="N46" s="1" t="s">
        <v>15</v>
      </c>
      <c r="O46" s="1">
        <v>6</v>
      </c>
      <c r="P46" s="1">
        <f>VLOOKUP(N46,Info!$G$43:$I$46,3,FALSE)</f>
        <v>120</v>
      </c>
      <c r="Q46" s="1">
        <f>VLOOKUP(N46,Info!$G$43:$I$46,2,FALSE)</f>
        <v>4000</v>
      </c>
      <c r="R46" s="6">
        <f t="shared" si="1"/>
        <v>3</v>
      </c>
    </row>
    <row r="47" spans="1:18" x14ac:dyDescent="0.45">
      <c r="J47" s="1">
        <v>46</v>
      </c>
      <c r="K47" s="1">
        <v>19</v>
      </c>
      <c r="L47" s="1">
        <v>34</v>
      </c>
      <c r="M47" s="1">
        <f t="shared" si="0"/>
        <v>0</v>
      </c>
      <c r="N47" s="1" t="s">
        <v>20</v>
      </c>
      <c r="O47" s="1">
        <v>6</v>
      </c>
      <c r="P47" s="1">
        <f>VLOOKUP(N47,Info!$G$43:$I$46,3,FALSE)</f>
        <v>110</v>
      </c>
      <c r="Q47" s="1">
        <f>VLOOKUP(N47,Info!$G$43:$I$46,2,FALSE)</f>
        <v>3500</v>
      </c>
      <c r="R47" s="6">
        <f t="shared" si="1"/>
        <v>3.2727272727272725</v>
      </c>
    </row>
    <row r="48" spans="1:18" x14ac:dyDescent="0.45">
      <c r="J48" s="1">
        <v>47</v>
      </c>
      <c r="K48" s="1">
        <v>20</v>
      </c>
      <c r="L48" s="1">
        <v>19</v>
      </c>
      <c r="M48" s="1">
        <f t="shared" si="0"/>
        <v>0</v>
      </c>
      <c r="N48" s="1" t="s">
        <v>15</v>
      </c>
      <c r="O48" s="1">
        <v>6</v>
      </c>
      <c r="P48" s="1">
        <f>VLOOKUP(N48,Info!$G$43:$I$46,3,FALSE)</f>
        <v>120</v>
      </c>
      <c r="Q48" s="1">
        <f>VLOOKUP(N48,Info!$G$43:$I$46,2,FALSE)</f>
        <v>4000</v>
      </c>
      <c r="R48" s="6">
        <f t="shared" si="1"/>
        <v>3</v>
      </c>
    </row>
    <row r="49" spans="10:18" x14ac:dyDescent="0.45">
      <c r="J49" s="1">
        <v>48</v>
      </c>
      <c r="K49" s="1">
        <v>20</v>
      </c>
      <c r="L49" s="1">
        <v>21</v>
      </c>
      <c r="M49" s="1">
        <f t="shared" si="0"/>
        <v>0</v>
      </c>
      <c r="N49" s="1" t="s">
        <v>15</v>
      </c>
      <c r="O49" s="1">
        <v>11</v>
      </c>
      <c r="P49" s="1">
        <f>VLOOKUP(N49,Info!$G$43:$I$46,3,FALSE)</f>
        <v>120</v>
      </c>
      <c r="Q49" s="1">
        <f>VLOOKUP(N49,Info!$G$43:$I$46,2,FALSE)</f>
        <v>4000</v>
      </c>
      <c r="R49" s="6">
        <f t="shared" si="1"/>
        <v>5.5</v>
      </c>
    </row>
    <row r="50" spans="10:18" x14ac:dyDescent="0.45">
      <c r="J50" s="1">
        <v>49</v>
      </c>
      <c r="K50" s="1">
        <v>20</v>
      </c>
      <c r="L50" s="1">
        <v>35</v>
      </c>
      <c r="M50" s="1">
        <f t="shared" si="0"/>
        <v>0</v>
      </c>
      <c r="N50" s="1" t="s">
        <v>26</v>
      </c>
      <c r="O50" s="1">
        <v>8</v>
      </c>
      <c r="P50" s="1">
        <f>VLOOKUP(N50,Info!$G$43:$I$46,3,FALSE)</f>
        <v>90</v>
      </c>
      <c r="Q50" s="1">
        <f>VLOOKUP(N50,Info!$G$43:$I$46,2,FALSE)</f>
        <v>3000</v>
      </c>
      <c r="R50" s="6">
        <f t="shared" si="1"/>
        <v>5.3333333333333339</v>
      </c>
    </row>
    <row r="51" spans="10:18" x14ac:dyDescent="0.45">
      <c r="J51" s="1">
        <v>50</v>
      </c>
      <c r="K51" s="1">
        <v>21</v>
      </c>
      <c r="L51" s="1">
        <v>7</v>
      </c>
      <c r="M51" s="1">
        <f t="shared" si="0"/>
        <v>21</v>
      </c>
      <c r="N51" s="1" t="s">
        <v>20</v>
      </c>
      <c r="O51" s="1">
        <v>5</v>
      </c>
      <c r="P51" s="1">
        <f>VLOOKUP(N51,Info!$G$43:$I$46,3,FALSE)</f>
        <v>110</v>
      </c>
      <c r="Q51" s="1">
        <f>VLOOKUP(N51,Info!$G$43:$I$46,2,FALSE)</f>
        <v>3500</v>
      </c>
      <c r="R51" s="6">
        <f t="shared" si="1"/>
        <v>2.7272727272727275</v>
      </c>
    </row>
    <row r="52" spans="10:18" x14ac:dyDescent="0.45">
      <c r="J52" s="1">
        <v>51</v>
      </c>
      <c r="K52" s="1">
        <v>21</v>
      </c>
      <c r="L52" s="1">
        <v>20</v>
      </c>
      <c r="M52" s="1">
        <f t="shared" si="0"/>
        <v>21</v>
      </c>
      <c r="N52" s="1" t="s">
        <v>15</v>
      </c>
      <c r="O52" s="1">
        <v>11</v>
      </c>
      <c r="P52" s="1">
        <f>VLOOKUP(N52,Info!$G$43:$I$46,3,FALSE)</f>
        <v>120</v>
      </c>
      <c r="Q52" s="1">
        <f>VLOOKUP(N52,Info!$G$43:$I$46,2,FALSE)</f>
        <v>4000</v>
      </c>
      <c r="R52" s="6">
        <f t="shared" si="1"/>
        <v>5.5</v>
      </c>
    </row>
    <row r="53" spans="10:18" x14ac:dyDescent="0.45">
      <c r="J53" s="1">
        <v>52</v>
      </c>
      <c r="K53" s="1">
        <v>21</v>
      </c>
      <c r="L53" s="1">
        <v>22</v>
      </c>
      <c r="M53" s="1">
        <f t="shared" si="0"/>
        <v>21</v>
      </c>
      <c r="N53" s="1" t="s">
        <v>15</v>
      </c>
      <c r="O53" s="1">
        <v>3</v>
      </c>
      <c r="P53" s="1">
        <f>VLOOKUP(N53,Info!$G$43:$I$46,3,FALSE)</f>
        <v>120</v>
      </c>
      <c r="Q53" s="1">
        <f>VLOOKUP(N53,Info!$G$43:$I$46,2,FALSE)</f>
        <v>4000</v>
      </c>
      <c r="R53" s="6">
        <f t="shared" si="1"/>
        <v>1.5</v>
      </c>
    </row>
    <row r="54" spans="10:18" x14ac:dyDescent="0.45">
      <c r="J54" s="1">
        <v>53</v>
      </c>
      <c r="K54" s="1">
        <v>21</v>
      </c>
      <c r="L54" s="1">
        <v>36</v>
      </c>
      <c r="M54" s="1">
        <f t="shared" si="0"/>
        <v>21</v>
      </c>
      <c r="N54" s="1" t="s">
        <v>20</v>
      </c>
      <c r="O54" s="1">
        <v>9</v>
      </c>
      <c r="P54" s="1">
        <f>VLOOKUP(N54,Info!$G$43:$I$46,3,FALSE)</f>
        <v>110</v>
      </c>
      <c r="Q54" s="1">
        <f>VLOOKUP(N54,Info!$G$43:$I$46,2,FALSE)</f>
        <v>3500</v>
      </c>
      <c r="R54" s="6">
        <f t="shared" si="1"/>
        <v>4.9090909090909092</v>
      </c>
    </row>
    <row r="55" spans="10:18" x14ac:dyDescent="0.45">
      <c r="J55" s="1">
        <v>54</v>
      </c>
      <c r="K55" s="1">
        <v>22</v>
      </c>
      <c r="L55" s="1">
        <v>21</v>
      </c>
      <c r="M55" s="1">
        <f t="shared" si="0"/>
        <v>0</v>
      </c>
      <c r="N55" s="1" t="s">
        <v>15</v>
      </c>
      <c r="O55" s="1">
        <v>3</v>
      </c>
      <c r="P55" s="1">
        <f>VLOOKUP(N55,Info!$G$43:$I$46,3,FALSE)</f>
        <v>120</v>
      </c>
      <c r="Q55" s="1">
        <f>VLOOKUP(N55,Info!$G$43:$I$46,2,FALSE)</f>
        <v>4000</v>
      </c>
      <c r="R55" s="6">
        <f t="shared" si="1"/>
        <v>1.5</v>
      </c>
    </row>
    <row r="56" spans="10:18" x14ac:dyDescent="0.45">
      <c r="J56" s="1">
        <v>55</v>
      </c>
      <c r="K56" s="1">
        <v>22</v>
      </c>
      <c r="L56" s="1">
        <v>23</v>
      </c>
      <c r="M56" s="1">
        <f t="shared" si="0"/>
        <v>0</v>
      </c>
      <c r="N56" s="1" t="s">
        <v>15</v>
      </c>
      <c r="O56" s="1">
        <v>9</v>
      </c>
      <c r="P56" s="1">
        <f>VLOOKUP(N56,Info!$G$43:$I$46,3,FALSE)</f>
        <v>120</v>
      </c>
      <c r="Q56" s="1">
        <f>VLOOKUP(N56,Info!$G$43:$I$46,2,FALSE)</f>
        <v>4000</v>
      </c>
      <c r="R56" s="6">
        <f t="shared" si="1"/>
        <v>4.5</v>
      </c>
    </row>
    <row r="57" spans="10:18" x14ac:dyDescent="0.45">
      <c r="J57" s="1">
        <v>56</v>
      </c>
      <c r="K57" s="1">
        <v>22</v>
      </c>
      <c r="L57" s="1">
        <v>37</v>
      </c>
      <c r="M57" s="1">
        <f t="shared" si="0"/>
        <v>0</v>
      </c>
      <c r="N57" s="1" t="s">
        <v>26</v>
      </c>
      <c r="O57" s="1">
        <v>10</v>
      </c>
      <c r="P57" s="1">
        <f>VLOOKUP(N57,Info!$G$43:$I$46,3,FALSE)</f>
        <v>90</v>
      </c>
      <c r="Q57" s="1">
        <f>VLOOKUP(N57,Info!$G$43:$I$46,2,FALSE)</f>
        <v>3000</v>
      </c>
      <c r="R57" s="6">
        <f t="shared" si="1"/>
        <v>6.6666666666666661</v>
      </c>
    </row>
    <row r="58" spans="10:18" x14ac:dyDescent="0.45">
      <c r="J58" s="1">
        <v>57</v>
      </c>
      <c r="K58" s="1">
        <v>23</v>
      </c>
      <c r="L58" s="1">
        <v>22</v>
      </c>
      <c r="M58" s="1">
        <f t="shared" si="0"/>
        <v>0</v>
      </c>
      <c r="N58" s="1" t="s">
        <v>15</v>
      </c>
      <c r="O58" s="1">
        <v>9</v>
      </c>
      <c r="P58" s="1">
        <f>VLOOKUP(N58,Info!$G$43:$I$46,3,FALSE)</f>
        <v>120</v>
      </c>
      <c r="Q58" s="1">
        <f>VLOOKUP(N58,Info!$G$43:$I$46,2,FALSE)</f>
        <v>4000</v>
      </c>
      <c r="R58" s="6">
        <f t="shared" si="1"/>
        <v>4.5</v>
      </c>
    </row>
    <row r="59" spans="10:18" x14ac:dyDescent="0.45">
      <c r="J59" s="1">
        <v>58</v>
      </c>
      <c r="K59" s="1">
        <v>23</v>
      </c>
      <c r="L59" s="1">
        <v>24</v>
      </c>
      <c r="M59" s="1">
        <f t="shared" si="0"/>
        <v>0</v>
      </c>
      <c r="N59" s="1" t="s">
        <v>15</v>
      </c>
      <c r="O59" s="1">
        <v>1</v>
      </c>
      <c r="P59" s="1">
        <f>VLOOKUP(N59,Info!$G$43:$I$46,3,FALSE)</f>
        <v>120</v>
      </c>
      <c r="Q59" s="1">
        <f>VLOOKUP(N59,Info!$G$43:$I$46,2,FALSE)</f>
        <v>4000</v>
      </c>
      <c r="R59" s="6">
        <f t="shared" si="1"/>
        <v>0.5</v>
      </c>
    </row>
    <row r="60" spans="10:18" x14ac:dyDescent="0.45">
      <c r="J60" s="1">
        <v>59</v>
      </c>
      <c r="K60" s="1">
        <v>23</v>
      </c>
      <c r="L60" s="1">
        <v>38</v>
      </c>
      <c r="M60" s="1">
        <f t="shared" si="0"/>
        <v>0</v>
      </c>
      <c r="N60" s="1" t="s">
        <v>26</v>
      </c>
      <c r="O60" s="1">
        <v>8</v>
      </c>
      <c r="P60" s="1">
        <f>VLOOKUP(N60,Info!$G$43:$I$46,3,FALSE)</f>
        <v>90</v>
      </c>
      <c r="Q60" s="1">
        <f>VLOOKUP(N60,Info!$G$43:$I$46,2,FALSE)</f>
        <v>3000</v>
      </c>
      <c r="R60" s="6">
        <f t="shared" si="1"/>
        <v>5.3333333333333339</v>
      </c>
    </row>
    <row r="61" spans="10:18" x14ac:dyDescent="0.45">
      <c r="J61" s="1">
        <v>60</v>
      </c>
      <c r="K61" s="1">
        <v>24</v>
      </c>
      <c r="L61" s="1">
        <v>8</v>
      </c>
      <c r="M61" s="1">
        <f t="shared" si="0"/>
        <v>24</v>
      </c>
      <c r="N61" s="1" t="s">
        <v>20</v>
      </c>
      <c r="O61" s="1">
        <v>5</v>
      </c>
      <c r="P61" s="1">
        <f>VLOOKUP(N61,Info!$G$43:$I$46,3,FALSE)</f>
        <v>110</v>
      </c>
      <c r="Q61" s="1">
        <f>VLOOKUP(N61,Info!$G$43:$I$46,2,FALSE)</f>
        <v>3500</v>
      </c>
      <c r="R61" s="6">
        <f t="shared" si="1"/>
        <v>2.7272727272727275</v>
      </c>
    </row>
    <row r="62" spans="10:18" x14ac:dyDescent="0.45">
      <c r="J62" s="1">
        <v>61</v>
      </c>
      <c r="K62" s="1">
        <v>24</v>
      </c>
      <c r="L62" s="1">
        <v>9</v>
      </c>
      <c r="M62" s="1">
        <f t="shared" si="0"/>
        <v>24</v>
      </c>
      <c r="N62" s="1" t="s">
        <v>15</v>
      </c>
      <c r="O62" s="1">
        <v>6</v>
      </c>
      <c r="P62" s="1">
        <f>VLOOKUP(N62,Info!$G$43:$I$46,3,FALSE)</f>
        <v>120</v>
      </c>
      <c r="Q62" s="1">
        <f>VLOOKUP(N62,Info!$G$43:$I$46,2,FALSE)</f>
        <v>4000</v>
      </c>
      <c r="R62" s="6">
        <f t="shared" si="1"/>
        <v>3</v>
      </c>
    </row>
    <row r="63" spans="10:18" x14ac:dyDescent="0.45">
      <c r="J63" s="1">
        <v>62</v>
      </c>
      <c r="K63" s="1">
        <v>24</v>
      </c>
      <c r="L63" s="1">
        <v>23</v>
      </c>
      <c r="M63" s="1">
        <f t="shared" si="0"/>
        <v>24</v>
      </c>
      <c r="N63" s="1" t="s">
        <v>15</v>
      </c>
      <c r="O63" s="1">
        <v>1</v>
      </c>
      <c r="P63" s="1">
        <f>VLOOKUP(N63,Info!$G$43:$I$46,3,FALSE)</f>
        <v>120</v>
      </c>
      <c r="Q63" s="1">
        <f>VLOOKUP(N63,Info!$G$43:$I$46,2,FALSE)</f>
        <v>4000</v>
      </c>
      <c r="R63" s="6">
        <f t="shared" si="1"/>
        <v>0.5</v>
      </c>
    </row>
    <row r="64" spans="10:18" x14ac:dyDescent="0.45">
      <c r="J64" s="1">
        <v>63</v>
      </c>
      <c r="K64" s="1">
        <v>24</v>
      </c>
      <c r="L64" s="1">
        <v>25</v>
      </c>
      <c r="M64" s="1">
        <f t="shared" si="0"/>
        <v>24</v>
      </c>
      <c r="N64" s="1" t="s">
        <v>26</v>
      </c>
      <c r="O64" s="1">
        <v>4</v>
      </c>
      <c r="P64" s="1">
        <f>VLOOKUP(N64,Info!$G$43:$I$46,3,FALSE)</f>
        <v>90</v>
      </c>
      <c r="Q64" s="1">
        <f>VLOOKUP(N64,Info!$G$43:$I$46,2,FALSE)</f>
        <v>3000</v>
      </c>
      <c r="R64" s="6">
        <f t="shared" si="1"/>
        <v>2.666666666666667</v>
      </c>
    </row>
    <row r="65" spans="10:18" x14ac:dyDescent="0.45">
      <c r="J65" s="1">
        <v>64</v>
      </c>
      <c r="K65" s="1">
        <v>25</v>
      </c>
      <c r="L65" s="1">
        <v>10</v>
      </c>
      <c r="M65" s="1">
        <f t="shared" si="0"/>
        <v>0</v>
      </c>
      <c r="N65" s="1" t="s">
        <v>31</v>
      </c>
      <c r="O65" s="1">
        <v>7</v>
      </c>
      <c r="P65" s="1">
        <f>VLOOKUP(N65,Info!$G$43:$I$46,3,FALSE)</f>
        <v>70</v>
      </c>
      <c r="Q65" s="1">
        <f>VLOOKUP(N65,Info!$G$43:$I$46,2,FALSE)</f>
        <v>2000</v>
      </c>
      <c r="R65" s="6">
        <f t="shared" si="1"/>
        <v>6</v>
      </c>
    </row>
    <row r="66" spans="10:18" x14ac:dyDescent="0.45">
      <c r="J66" s="1">
        <v>65</v>
      </c>
      <c r="K66" s="1">
        <v>25</v>
      </c>
      <c r="L66" s="1">
        <v>24</v>
      </c>
      <c r="M66" s="1">
        <f t="shared" ref="M66:M129" si="4">IFERROR(VLOOKUP(K66,$T$2:$T$13,1,FALSE),0)</f>
        <v>0</v>
      </c>
      <c r="N66" s="1" t="s">
        <v>26</v>
      </c>
      <c r="O66" s="1">
        <v>4</v>
      </c>
      <c r="P66" s="1">
        <f>VLOOKUP(N66,Info!$G$43:$I$46,3,FALSE)</f>
        <v>90</v>
      </c>
      <c r="Q66" s="1">
        <f>VLOOKUP(N66,Info!$G$43:$I$46,2,FALSE)</f>
        <v>3000</v>
      </c>
      <c r="R66" s="6">
        <f t="shared" ref="R66:R129" si="5">O66/P66*60</f>
        <v>2.666666666666667</v>
      </c>
    </row>
    <row r="67" spans="10:18" x14ac:dyDescent="0.45">
      <c r="J67" s="1">
        <v>66</v>
      </c>
      <c r="K67" s="1">
        <v>25</v>
      </c>
      <c r="L67" s="1">
        <v>26</v>
      </c>
      <c r="M67" s="1">
        <f t="shared" si="4"/>
        <v>0</v>
      </c>
      <c r="N67" s="1" t="s">
        <v>26</v>
      </c>
      <c r="O67" s="1">
        <v>3</v>
      </c>
      <c r="P67" s="1">
        <f>VLOOKUP(N67,Info!$G$43:$I$46,3,FALSE)</f>
        <v>90</v>
      </c>
      <c r="Q67" s="1">
        <f>VLOOKUP(N67,Info!$G$43:$I$46,2,FALSE)</f>
        <v>3000</v>
      </c>
      <c r="R67" s="6">
        <f t="shared" si="5"/>
        <v>2</v>
      </c>
    </row>
    <row r="68" spans="10:18" x14ac:dyDescent="0.45">
      <c r="J68" s="1">
        <v>67</v>
      </c>
      <c r="K68" s="1">
        <v>26</v>
      </c>
      <c r="L68" s="1">
        <v>11</v>
      </c>
      <c r="M68" s="1">
        <f t="shared" si="4"/>
        <v>0</v>
      </c>
      <c r="N68" s="1" t="s">
        <v>31</v>
      </c>
      <c r="O68" s="1">
        <v>9</v>
      </c>
      <c r="P68" s="1">
        <f>VLOOKUP(N68,Info!$G$43:$I$46,3,FALSE)</f>
        <v>70</v>
      </c>
      <c r="Q68" s="1">
        <f>VLOOKUP(N68,Info!$G$43:$I$46,2,FALSE)</f>
        <v>2000</v>
      </c>
      <c r="R68" s="6">
        <f t="shared" si="5"/>
        <v>7.7142857142857135</v>
      </c>
    </row>
    <row r="69" spans="10:18" x14ac:dyDescent="0.45">
      <c r="J69" s="1">
        <v>68</v>
      </c>
      <c r="K69" s="1">
        <v>26</v>
      </c>
      <c r="L69" s="1">
        <v>25</v>
      </c>
      <c r="M69" s="1">
        <f t="shared" si="4"/>
        <v>0</v>
      </c>
      <c r="N69" s="1" t="s">
        <v>26</v>
      </c>
      <c r="O69" s="1">
        <v>3</v>
      </c>
      <c r="P69" s="1">
        <f>VLOOKUP(N69,Info!$G$43:$I$46,3,FALSE)</f>
        <v>90</v>
      </c>
      <c r="Q69" s="1">
        <f>VLOOKUP(N69,Info!$G$43:$I$46,2,FALSE)</f>
        <v>3000</v>
      </c>
      <c r="R69" s="6">
        <f t="shared" si="5"/>
        <v>2</v>
      </c>
    </row>
    <row r="70" spans="10:18" x14ac:dyDescent="0.45">
      <c r="J70" s="1">
        <v>69</v>
      </c>
      <c r="K70" s="1">
        <v>26</v>
      </c>
      <c r="L70" s="1">
        <v>27</v>
      </c>
      <c r="M70" s="1">
        <f t="shared" si="4"/>
        <v>0</v>
      </c>
      <c r="N70" s="1" t="s">
        <v>26</v>
      </c>
      <c r="O70" s="1">
        <v>5</v>
      </c>
      <c r="P70" s="1">
        <f>VLOOKUP(N70,Info!$G$43:$I$46,3,FALSE)</f>
        <v>90</v>
      </c>
      <c r="Q70" s="1">
        <f>VLOOKUP(N70,Info!$G$43:$I$46,2,FALSE)</f>
        <v>3000</v>
      </c>
      <c r="R70" s="6">
        <f t="shared" si="5"/>
        <v>3.333333333333333</v>
      </c>
    </row>
    <row r="71" spans="10:18" x14ac:dyDescent="0.45">
      <c r="J71" s="1">
        <v>70</v>
      </c>
      <c r="K71" s="1">
        <v>26</v>
      </c>
      <c r="L71" s="1">
        <v>38</v>
      </c>
      <c r="M71" s="1">
        <f t="shared" si="4"/>
        <v>0</v>
      </c>
      <c r="N71" s="1" t="s">
        <v>31</v>
      </c>
      <c r="O71" s="1">
        <v>2</v>
      </c>
      <c r="P71" s="1">
        <f>VLOOKUP(N71,Info!$G$43:$I$46,3,FALSE)</f>
        <v>70</v>
      </c>
      <c r="Q71" s="1">
        <f>VLOOKUP(N71,Info!$G$43:$I$46,2,FALSE)</f>
        <v>2000</v>
      </c>
      <c r="R71" s="6">
        <f t="shared" si="5"/>
        <v>1.7142857142857142</v>
      </c>
    </row>
    <row r="72" spans="10:18" x14ac:dyDescent="0.45">
      <c r="J72" s="1">
        <v>71</v>
      </c>
      <c r="K72" s="1">
        <v>27</v>
      </c>
      <c r="L72" s="1">
        <v>12</v>
      </c>
      <c r="M72" s="1">
        <f t="shared" si="4"/>
        <v>0</v>
      </c>
      <c r="N72" s="1" t="s">
        <v>26</v>
      </c>
      <c r="O72" s="1">
        <v>8</v>
      </c>
      <c r="P72" s="1">
        <f>VLOOKUP(N72,Info!$G$43:$I$46,3,FALSE)</f>
        <v>90</v>
      </c>
      <c r="Q72" s="1">
        <f>VLOOKUP(N72,Info!$G$43:$I$46,2,FALSE)</f>
        <v>3000</v>
      </c>
      <c r="R72" s="6">
        <f t="shared" si="5"/>
        <v>5.3333333333333339</v>
      </c>
    </row>
    <row r="73" spans="10:18" x14ac:dyDescent="0.45">
      <c r="J73" s="1">
        <v>72</v>
      </c>
      <c r="K73" s="1">
        <v>27</v>
      </c>
      <c r="L73" s="1">
        <v>26</v>
      </c>
      <c r="M73" s="1">
        <f t="shared" si="4"/>
        <v>0</v>
      </c>
      <c r="N73" s="1" t="s">
        <v>26</v>
      </c>
      <c r="O73" s="1">
        <v>5</v>
      </c>
      <c r="P73" s="1">
        <f>VLOOKUP(N73,Info!$G$43:$I$46,3,FALSE)</f>
        <v>90</v>
      </c>
      <c r="Q73" s="1">
        <f>VLOOKUP(N73,Info!$G$43:$I$46,2,FALSE)</f>
        <v>3000</v>
      </c>
      <c r="R73" s="6">
        <f t="shared" si="5"/>
        <v>3.333333333333333</v>
      </c>
    </row>
    <row r="74" spans="10:18" x14ac:dyDescent="0.45">
      <c r="J74" s="1">
        <v>73</v>
      </c>
      <c r="K74" s="1">
        <v>27</v>
      </c>
      <c r="L74" s="1">
        <v>28</v>
      </c>
      <c r="M74" s="1">
        <f t="shared" si="4"/>
        <v>0</v>
      </c>
      <c r="N74" s="1" t="s">
        <v>26</v>
      </c>
      <c r="O74" s="1">
        <v>5</v>
      </c>
      <c r="P74" s="1">
        <f>VLOOKUP(N74,Info!$G$43:$I$46,3,FALSE)</f>
        <v>90</v>
      </c>
      <c r="Q74" s="1">
        <f>VLOOKUP(N74,Info!$G$43:$I$46,2,FALSE)</f>
        <v>3000</v>
      </c>
      <c r="R74" s="6">
        <f t="shared" si="5"/>
        <v>3.333333333333333</v>
      </c>
    </row>
    <row r="75" spans="10:18" x14ac:dyDescent="0.45">
      <c r="J75" s="1">
        <v>74</v>
      </c>
      <c r="K75" s="1">
        <v>27</v>
      </c>
      <c r="L75" s="1">
        <v>39</v>
      </c>
      <c r="M75" s="1">
        <f t="shared" si="4"/>
        <v>0</v>
      </c>
      <c r="N75" s="1" t="s">
        <v>26</v>
      </c>
      <c r="O75" s="1">
        <v>1</v>
      </c>
      <c r="P75" s="1">
        <f>VLOOKUP(N75,Info!$G$43:$I$46,3,FALSE)</f>
        <v>90</v>
      </c>
      <c r="Q75" s="1">
        <f>VLOOKUP(N75,Info!$G$43:$I$46,2,FALSE)</f>
        <v>3000</v>
      </c>
      <c r="R75" s="6">
        <f t="shared" si="5"/>
        <v>0.66666666666666674</v>
      </c>
    </row>
    <row r="76" spans="10:18" x14ac:dyDescent="0.45">
      <c r="J76" s="1">
        <v>75</v>
      </c>
      <c r="K76" s="1">
        <v>28</v>
      </c>
      <c r="L76" s="1">
        <v>27</v>
      </c>
      <c r="M76" s="1">
        <f t="shared" si="4"/>
        <v>0</v>
      </c>
      <c r="N76" s="1" t="s">
        <v>26</v>
      </c>
      <c r="O76" s="1">
        <v>5</v>
      </c>
      <c r="P76" s="1">
        <f>VLOOKUP(N76,Info!$G$43:$I$46,3,FALSE)</f>
        <v>90</v>
      </c>
      <c r="Q76" s="1">
        <f>VLOOKUP(N76,Info!$G$43:$I$46,2,FALSE)</f>
        <v>3000</v>
      </c>
      <c r="R76" s="6">
        <f t="shared" si="5"/>
        <v>3.333333333333333</v>
      </c>
    </row>
    <row r="77" spans="10:18" x14ac:dyDescent="0.45">
      <c r="J77" s="1">
        <v>76</v>
      </c>
      <c r="K77" s="1">
        <v>28</v>
      </c>
      <c r="L77" s="1">
        <v>29</v>
      </c>
      <c r="M77" s="1">
        <f t="shared" si="4"/>
        <v>0</v>
      </c>
      <c r="N77" s="1" t="s">
        <v>20</v>
      </c>
      <c r="O77" s="1">
        <v>2</v>
      </c>
      <c r="P77" s="1">
        <f>VLOOKUP(N77,Info!$G$43:$I$46,3,FALSE)</f>
        <v>110</v>
      </c>
      <c r="Q77" s="1">
        <f>VLOOKUP(N77,Info!$G$43:$I$46,2,FALSE)</f>
        <v>3500</v>
      </c>
      <c r="R77" s="6">
        <f t="shared" si="5"/>
        <v>1.0909090909090908</v>
      </c>
    </row>
    <row r="78" spans="10:18" x14ac:dyDescent="0.45">
      <c r="J78" s="1">
        <v>77</v>
      </c>
      <c r="K78" s="1">
        <v>28</v>
      </c>
      <c r="L78" s="1">
        <v>40</v>
      </c>
      <c r="M78" s="1">
        <f t="shared" si="4"/>
        <v>0</v>
      </c>
      <c r="N78" s="1" t="s">
        <v>20</v>
      </c>
      <c r="O78" s="1">
        <v>1</v>
      </c>
      <c r="P78" s="1">
        <f>VLOOKUP(N78,Info!$G$43:$I$46,3,FALSE)</f>
        <v>110</v>
      </c>
      <c r="Q78" s="1">
        <f>VLOOKUP(N78,Info!$G$43:$I$46,2,FALSE)</f>
        <v>3500</v>
      </c>
      <c r="R78" s="6">
        <f t="shared" si="5"/>
        <v>0.54545454545454541</v>
      </c>
    </row>
    <row r="79" spans="10:18" x14ac:dyDescent="0.45">
      <c r="J79" s="1">
        <v>78</v>
      </c>
      <c r="K79" s="1">
        <v>29</v>
      </c>
      <c r="L79" s="1">
        <v>13</v>
      </c>
      <c r="M79" s="1">
        <f t="shared" si="4"/>
        <v>29</v>
      </c>
      <c r="N79" s="1" t="s">
        <v>31</v>
      </c>
      <c r="O79" s="1">
        <v>8</v>
      </c>
      <c r="P79" s="1">
        <f>VLOOKUP(N79,Info!$G$43:$I$46,3,FALSE)</f>
        <v>70</v>
      </c>
      <c r="Q79" s="1">
        <f>VLOOKUP(N79,Info!$G$43:$I$46,2,FALSE)</f>
        <v>2000</v>
      </c>
      <c r="R79" s="6">
        <f t="shared" si="5"/>
        <v>6.8571428571428568</v>
      </c>
    </row>
    <row r="80" spans="10:18" x14ac:dyDescent="0.45">
      <c r="J80" s="1">
        <v>79</v>
      </c>
      <c r="K80" s="1">
        <v>29</v>
      </c>
      <c r="L80" s="1">
        <v>28</v>
      </c>
      <c r="M80" s="1">
        <f t="shared" si="4"/>
        <v>29</v>
      </c>
      <c r="N80" s="1" t="s">
        <v>20</v>
      </c>
      <c r="O80" s="1">
        <v>2</v>
      </c>
      <c r="P80" s="1">
        <f>VLOOKUP(N80,Info!$G$43:$I$46,3,FALSE)</f>
        <v>110</v>
      </c>
      <c r="Q80" s="1">
        <f>VLOOKUP(N80,Info!$G$43:$I$46,2,FALSE)</f>
        <v>3500</v>
      </c>
      <c r="R80" s="6">
        <f t="shared" si="5"/>
        <v>1.0909090909090908</v>
      </c>
    </row>
    <row r="81" spans="10:18" x14ac:dyDescent="0.45">
      <c r="J81" s="1">
        <v>80</v>
      </c>
      <c r="K81" s="1">
        <v>29</v>
      </c>
      <c r="L81" s="1">
        <v>30</v>
      </c>
      <c r="M81" s="1">
        <f t="shared" si="4"/>
        <v>29</v>
      </c>
      <c r="N81" s="1" t="s">
        <v>20</v>
      </c>
      <c r="O81" s="1">
        <v>5</v>
      </c>
      <c r="P81" s="1">
        <f>VLOOKUP(N81,Info!$G$43:$I$46,3,FALSE)</f>
        <v>110</v>
      </c>
      <c r="Q81" s="1">
        <f>VLOOKUP(N81,Info!$G$43:$I$46,2,FALSE)</f>
        <v>3500</v>
      </c>
      <c r="R81" s="6">
        <f t="shared" si="5"/>
        <v>2.7272727272727275</v>
      </c>
    </row>
    <row r="82" spans="10:18" x14ac:dyDescent="0.45">
      <c r="J82" s="1">
        <v>81</v>
      </c>
      <c r="K82" s="1">
        <v>30</v>
      </c>
      <c r="L82" s="1">
        <v>14</v>
      </c>
      <c r="M82" s="1">
        <f t="shared" si="4"/>
        <v>30</v>
      </c>
      <c r="N82" s="1" t="s">
        <v>31</v>
      </c>
      <c r="O82" s="1">
        <v>8</v>
      </c>
      <c r="P82" s="1">
        <f>VLOOKUP(N82,Info!$G$43:$I$46,3,FALSE)</f>
        <v>70</v>
      </c>
      <c r="Q82" s="1">
        <f>VLOOKUP(N82,Info!$G$43:$I$46,2,FALSE)</f>
        <v>2000</v>
      </c>
      <c r="R82" s="6">
        <f t="shared" si="5"/>
        <v>6.8571428571428568</v>
      </c>
    </row>
    <row r="83" spans="10:18" x14ac:dyDescent="0.45">
      <c r="J83" s="1">
        <v>82</v>
      </c>
      <c r="K83" s="1">
        <v>30</v>
      </c>
      <c r="L83" s="1">
        <v>15</v>
      </c>
      <c r="M83" s="1">
        <f t="shared" si="4"/>
        <v>30</v>
      </c>
      <c r="N83" s="1" t="s">
        <v>31</v>
      </c>
      <c r="O83" s="1">
        <v>9</v>
      </c>
      <c r="P83" s="1">
        <f>VLOOKUP(N83,Info!$G$43:$I$46,3,FALSE)</f>
        <v>70</v>
      </c>
      <c r="Q83" s="1">
        <f>VLOOKUP(N83,Info!$G$43:$I$46,2,FALSE)</f>
        <v>2000</v>
      </c>
      <c r="R83" s="6">
        <f t="shared" si="5"/>
        <v>7.7142857142857135</v>
      </c>
    </row>
    <row r="84" spans="10:18" x14ac:dyDescent="0.45">
      <c r="J84" s="1">
        <v>83</v>
      </c>
      <c r="K84" s="1">
        <v>30</v>
      </c>
      <c r="L84" s="1">
        <v>29</v>
      </c>
      <c r="M84" s="1">
        <f t="shared" si="4"/>
        <v>30</v>
      </c>
      <c r="N84" s="1" t="s">
        <v>20</v>
      </c>
      <c r="O84" s="1">
        <v>5</v>
      </c>
      <c r="P84" s="1">
        <f>VLOOKUP(N84,Info!$G$43:$I$46,3,FALSE)</f>
        <v>110</v>
      </c>
      <c r="Q84" s="1">
        <f>VLOOKUP(N84,Info!$G$43:$I$46,2,FALSE)</f>
        <v>3500</v>
      </c>
      <c r="R84" s="6">
        <f t="shared" si="5"/>
        <v>2.7272727272727275</v>
      </c>
    </row>
    <row r="85" spans="10:18" x14ac:dyDescent="0.45">
      <c r="J85" s="1">
        <v>84</v>
      </c>
      <c r="K85" s="1">
        <v>30</v>
      </c>
      <c r="L85" s="1">
        <v>31</v>
      </c>
      <c r="M85" s="1">
        <f t="shared" si="4"/>
        <v>30</v>
      </c>
      <c r="N85" s="1" t="s">
        <v>20</v>
      </c>
      <c r="O85" s="1">
        <v>5</v>
      </c>
      <c r="P85" s="1">
        <f>VLOOKUP(N85,Info!$G$43:$I$46,3,FALSE)</f>
        <v>110</v>
      </c>
      <c r="Q85" s="1">
        <f>VLOOKUP(N85,Info!$G$43:$I$46,2,FALSE)</f>
        <v>3500</v>
      </c>
      <c r="R85" s="6">
        <f t="shared" si="5"/>
        <v>2.7272727272727275</v>
      </c>
    </row>
    <row r="86" spans="10:18" x14ac:dyDescent="0.45">
      <c r="J86" s="1">
        <v>85</v>
      </c>
      <c r="K86" s="1">
        <v>31</v>
      </c>
      <c r="L86" s="1">
        <v>16</v>
      </c>
      <c r="M86" s="1">
        <f t="shared" si="4"/>
        <v>31</v>
      </c>
      <c r="N86" s="1" t="s">
        <v>20</v>
      </c>
      <c r="O86" s="1">
        <v>7</v>
      </c>
      <c r="P86" s="1">
        <f>VLOOKUP(N86,Info!$G$43:$I$46,3,FALSE)</f>
        <v>110</v>
      </c>
      <c r="Q86" s="1">
        <f>VLOOKUP(N86,Info!$G$43:$I$46,2,FALSE)</f>
        <v>3500</v>
      </c>
      <c r="R86" s="6">
        <f t="shared" si="5"/>
        <v>3.8181818181818179</v>
      </c>
    </row>
    <row r="87" spans="10:18" x14ac:dyDescent="0.45">
      <c r="J87" s="1">
        <v>86</v>
      </c>
      <c r="K87" s="1">
        <v>31</v>
      </c>
      <c r="L87" s="1">
        <v>30</v>
      </c>
      <c r="M87" s="1">
        <f t="shared" si="4"/>
        <v>31</v>
      </c>
      <c r="N87" s="1" t="s">
        <v>20</v>
      </c>
      <c r="O87" s="1">
        <v>5</v>
      </c>
      <c r="P87" s="1">
        <f>VLOOKUP(N87,Info!$G$43:$I$46,3,FALSE)</f>
        <v>110</v>
      </c>
      <c r="Q87" s="1">
        <f>VLOOKUP(N87,Info!$G$43:$I$46,2,FALSE)</f>
        <v>3500</v>
      </c>
      <c r="R87" s="6">
        <f t="shared" si="5"/>
        <v>2.7272727272727275</v>
      </c>
    </row>
    <row r="88" spans="10:18" x14ac:dyDescent="0.45">
      <c r="J88" s="1">
        <v>87</v>
      </c>
      <c r="K88" s="1">
        <v>31</v>
      </c>
      <c r="L88" s="1">
        <v>32</v>
      </c>
      <c r="M88" s="1">
        <f t="shared" si="4"/>
        <v>31</v>
      </c>
      <c r="N88" s="1" t="s">
        <v>20</v>
      </c>
      <c r="O88" s="1">
        <v>3</v>
      </c>
      <c r="P88" s="1">
        <f>VLOOKUP(N88,Info!$G$43:$I$46,3,FALSE)</f>
        <v>110</v>
      </c>
      <c r="Q88" s="1">
        <f>VLOOKUP(N88,Info!$G$43:$I$46,2,FALSE)</f>
        <v>3500</v>
      </c>
      <c r="R88" s="6">
        <f t="shared" si="5"/>
        <v>1.6363636363636362</v>
      </c>
    </row>
    <row r="89" spans="10:18" x14ac:dyDescent="0.45">
      <c r="J89" s="1">
        <v>88</v>
      </c>
      <c r="K89" s="1">
        <v>32</v>
      </c>
      <c r="L89" s="1">
        <v>17</v>
      </c>
      <c r="M89" s="1">
        <f t="shared" si="4"/>
        <v>0</v>
      </c>
      <c r="N89" s="1" t="s">
        <v>26</v>
      </c>
      <c r="O89" s="1">
        <v>2</v>
      </c>
      <c r="P89" s="1">
        <f>VLOOKUP(N89,Info!$G$43:$I$46,3,FALSE)</f>
        <v>90</v>
      </c>
      <c r="Q89" s="1">
        <f>VLOOKUP(N89,Info!$G$43:$I$46,2,FALSE)</f>
        <v>3000</v>
      </c>
      <c r="R89" s="6">
        <f t="shared" si="5"/>
        <v>1.3333333333333335</v>
      </c>
    </row>
    <row r="90" spans="10:18" x14ac:dyDescent="0.45">
      <c r="J90" s="1">
        <v>89</v>
      </c>
      <c r="K90" s="1">
        <v>32</v>
      </c>
      <c r="L90" s="1">
        <v>31</v>
      </c>
      <c r="M90" s="1">
        <f t="shared" si="4"/>
        <v>0</v>
      </c>
      <c r="N90" s="1" t="s">
        <v>20</v>
      </c>
      <c r="O90" s="1">
        <v>3</v>
      </c>
      <c r="P90" s="1">
        <f>VLOOKUP(N90,Info!$G$43:$I$46,3,FALSE)</f>
        <v>110</v>
      </c>
      <c r="Q90" s="1">
        <f>VLOOKUP(N90,Info!$G$43:$I$46,2,FALSE)</f>
        <v>3500</v>
      </c>
      <c r="R90" s="6">
        <f t="shared" si="5"/>
        <v>1.6363636363636362</v>
      </c>
    </row>
    <row r="91" spans="10:18" x14ac:dyDescent="0.45">
      <c r="J91" s="1">
        <v>90</v>
      </c>
      <c r="K91" s="1">
        <v>32</v>
      </c>
      <c r="L91" s="1">
        <v>33</v>
      </c>
      <c r="M91" s="1">
        <f t="shared" si="4"/>
        <v>0</v>
      </c>
      <c r="N91" s="1" t="s">
        <v>20</v>
      </c>
      <c r="O91" s="1">
        <v>13</v>
      </c>
      <c r="P91" s="1">
        <f>VLOOKUP(N91,Info!$G$43:$I$46,3,FALSE)</f>
        <v>110</v>
      </c>
      <c r="Q91" s="1">
        <f>VLOOKUP(N91,Info!$G$43:$I$46,2,FALSE)</f>
        <v>3500</v>
      </c>
      <c r="R91" s="6">
        <f t="shared" si="5"/>
        <v>7.0909090909090908</v>
      </c>
    </row>
    <row r="92" spans="10:18" x14ac:dyDescent="0.45">
      <c r="J92" s="1">
        <v>91</v>
      </c>
      <c r="K92" s="1">
        <v>33</v>
      </c>
      <c r="L92" s="1">
        <v>18</v>
      </c>
      <c r="M92" s="1">
        <f t="shared" si="4"/>
        <v>33</v>
      </c>
      <c r="N92" s="1" t="s">
        <v>20</v>
      </c>
      <c r="O92" s="1">
        <v>4</v>
      </c>
      <c r="P92" s="1">
        <f>VLOOKUP(N92,Info!$G$43:$I$46,3,FALSE)</f>
        <v>110</v>
      </c>
      <c r="Q92" s="1">
        <f>VLOOKUP(N92,Info!$G$43:$I$46,2,FALSE)</f>
        <v>3500</v>
      </c>
      <c r="R92" s="6">
        <f t="shared" si="5"/>
        <v>2.1818181818181817</v>
      </c>
    </row>
    <row r="93" spans="10:18" x14ac:dyDescent="0.45">
      <c r="J93" s="1">
        <v>92</v>
      </c>
      <c r="K93" s="1">
        <v>33</v>
      </c>
      <c r="L93" s="1">
        <v>32</v>
      </c>
      <c r="M93" s="1">
        <f t="shared" si="4"/>
        <v>33</v>
      </c>
      <c r="N93" s="1" t="s">
        <v>20</v>
      </c>
      <c r="O93" s="1">
        <v>13</v>
      </c>
      <c r="P93" s="1">
        <f>VLOOKUP(N93,Info!$G$43:$I$46,3,FALSE)</f>
        <v>110</v>
      </c>
      <c r="Q93" s="1">
        <f>VLOOKUP(N93,Info!$G$43:$I$46,2,FALSE)</f>
        <v>3500</v>
      </c>
      <c r="R93" s="6">
        <f t="shared" si="5"/>
        <v>7.0909090909090908</v>
      </c>
    </row>
    <row r="94" spans="10:18" x14ac:dyDescent="0.45">
      <c r="J94" s="1">
        <v>93</v>
      </c>
      <c r="K94" s="1">
        <v>33</v>
      </c>
      <c r="L94" s="1">
        <v>34</v>
      </c>
      <c r="M94" s="1">
        <f t="shared" si="4"/>
        <v>33</v>
      </c>
      <c r="N94" s="1" t="s">
        <v>26</v>
      </c>
      <c r="O94" s="1">
        <v>4</v>
      </c>
      <c r="P94" s="1">
        <f>VLOOKUP(N94,Info!$G$43:$I$46,3,FALSE)</f>
        <v>90</v>
      </c>
      <c r="Q94" s="1">
        <f>VLOOKUP(N94,Info!$G$43:$I$46,2,FALSE)</f>
        <v>3000</v>
      </c>
      <c r="R94" s="6">
        <f t="shared" si="5"/>
        <v>2.666666666666667</v>
      </c>
    </row>
    <row r="95" spans="10:18" x14ac:dyDescent="0.45">
      <c r="J95" s="1">
        <v>94</v>
      </c>
      <c r="K95" s="1">
        <v>33</v>
      </c>
      <c r="L95" s="1">
        <v>42</v>
      </c>
      <c r="M95" s="1">
        <f t="shared" si="4"/>
        <v>33</v>
      </c>
      <c r="N95" s="1" t="s">
        <v>20</v>
      </c>
      <c r="O95" s="1">
        <v>8</v>
      </c>
      <c r="P95" s="1">
        <f>VLOOKUP(N95,Info!$G$43:$I$46,3,FALSE)</f>
        <v>110</v>
      </c>
      <c r="Q95" s="1">
        <f>VLOOKUP(N95,Info!$G$43:$I$46,2,FALSE)</f>
        <v>3500</v>
      </c>
      <c r="R95" s="6">
        <f t="shared" si="5"/>
        <v>4.3636363636363633</v>
      </c>
    </row>
    <row r="96" spans="10:18" x14ac:dyDescent="0.45">
      <c r="J96" s="1">
        <v>95</v>
      </c>
      <c r="K96" s="1">
        <v>34</v>
      </c>
      <c r="L96" s="1">
        <v>19</v>
      </c>
      <c r="M96" s="1">
        <f t="shared" si="4"/>
        <v>0</v>
      </c>
      <c r="N96" s="1" t="s">
        <v>20</v>
      </c>
      <c r="O96" s="1">
        <v>6</v>
      </c>
      <c r="P96" s="1">
        <f>VLOOKUP(N96,Info!$G$43:$I$46,3,FALSE)</f>
        <v>110</v>
      </c>
      <c r="Q96" s="1">
        <f>VLOOKUP(N96,Info!$G$43:$I$46,2,FALSE)</f>
        <v>3500</v>
      </c>
      <c r="R96" s="6">
        <f t="shared" si="5"/>
        <v>3.2727272727272725</v>
      </c>
    </row>
    <row r="97" spans="10:18" x14ac:dyDescent="0.45">
      <c r="J97" s="1">
        <v>96</v>
      </c>
      <c r="K97" s="1">
        <v>34</v>
      </c>
      <c r="L97" s="1">
        <v>33</v>
      </c>
      <c r="M97" s="1">
        <f t="shared" si="4"/>
        <v>0</v>
      </c>
      <c r="N97" s="1" t="s">
        <v>26</v>
      </c>
      <c r="O97" s="1">
        <v>4</v>
      </c>
      <c r="P97" s="1">
        <f>VLOOKUP(N97,Info!$G$43:$I$46,3,FALSE)</f>
        <v>90</v>
      </c>
      <c r="Q97" s="1">
        <f>VLOOKUP(N97,Info!$G$43:$I$46,2,FALSE)</f>
        <v>3000</v>
      </c>
      <c r="R97" s="6">
        <f t="shared" si="5"/>
        <v>2.666666666666667</v>
      </c>
    </row>
    <row r="98" spans="10:18" x14ac:dyDescent="0.45">
      <c r="J98" s="1">
        <v>97</v>
      </c>
      <c r="K98" s="1">
        <v>34</v>
      </c>
      <c r="L98" s="1">
        <v>35</v>
      </c>
      <c r="M98" s="1">
        <f t="shared" si="4"/>
        <v>0</v>
      </c>
      <c r="N98" s="1" t="s">
        <v>26</v>
      </c>
      <c r="O98" s="1">
        <v>3</v>
      </c>
      <c r="P98" s="1">
        <f>VLOOKUP(N98,Info!$G$43:$I$46,3,FALSE)</f>
        <v>90</v>
      </c>
      <c r="Q98" s="1">
        <f>VLOOKUP(N98,Info!$G$43:$I$46,2,FALSE)</f>
        <v>3000</v>
      </c>
      <c r="R98" s="6">
        <f t="shared" si="5"/>
        <v>2</v>
      </c>
    </row>
    <row r="99" spans="10:18" x14ac:dyDescent="0.45">
      <c r="J99" s="1">
        <v>98</v>
      </c>
      <c r="K99" s="1">
        <v>35</v>
      </c>
      <c r="L99" s="1">
        <v>20</v>
      </c>
      <c r="M99" s="1">
        <f t="shared" si="4"/>
        <v>0</v>
      </c>
      <c r="N99" s="1" t="s">
        <v>26</v>
      </c>
      <c r="O99" s="1">
        <v>8</v>
      </c>
      <c r="P99" s="1">
        <f>VLOOKUP(N99,Info!$G$43:$I$46,3,FALSE)</f>
        <v>90</v>
      </c>
      <c r="Q99" s="1">
        <f>VLOOKUP(N99,Info!$G$43:$I$46,2,FALSE)</f>
        <v>3000</v>
      </c>
      <c r="R99" s="6">
        <f t="shared" si="5"/>
        <v>5.3333333333333339</v>
      </c>
    </row>
    <row r="100" spans="10:18" x14ac:dyDescent="0.45">
      <c r="J100" s="1">
        <v>99</v>
      </c>
      <c r="K100" s="1">
        <v>35</v>
      </c>
      <c r="L100" s="1">
        <v>34</v>
      </c>
      <c r="M100" s="1">
        <f t="shared" si="4"/>
        <v>0</v>
      </c>
      <c r="N100" s="1" t="s">
        <v>26</v>
      </c>
      <c r="O100" s="1">
        <v>3</v>
      </c>
      <c r="P100" s="1">
        <f>VLOOKUP(N100,Info!$G$43:$I$46,3,FALSE)</f>
        <v>90</v>
      </c>
      <c r="Q100" s="1">
        <f>VLOOKUP(N100,Info!$G$43:$I$46,2,FALSE)</f>
        <v>3000</v>
      </c>
      <c r="R100" s="6">
        <f t="shared" si="5"/>
        <v>2</v>
      </c>
    </row>
    <row r="101" spans="10:18" x14ac:dyDescent="0.45">
      <c r="J101" s="1">
        <v>100</v>
      </c>
      <c r="K101" s="1">
        <v>35</v>
      </c>
      <c r="L101" s="1">
        <v>36</v>
      </c>
      <c r="M101" s="1">
        <f t="shared" si="4"/>
        <v>0</v>
      </c>
      <c r="N101" s="1" t="s">
        <v>31</v>
      </c>
      <c r="O101" s="1">
        <v>10</v>
      </c>
      <c r="P101" s="1">
        <f>VLOOKUP(N101,Info!$G$43:$I$46,3,FALSE)</f>
        <v>70</v>
      </c>
      <c r="Q101" s="1">
        <f>VLOOKUP(N101,Info!$G$43:$I$46,2,FALSE)</f>
        <v>2000</v>
      </c>
      <c r="R101" s="6">
        <f t="shared" si="5"/>
        <v>8.5714285714285712</v>
      </c>
    </row>
    <row r="102" spans="10:18" x14ac:dyDescent="0.45">
      <c r="J102" s="1">
        <v>101</v>
      </c>
      <c r="K102" s="1">
        <v>36</v>
      </c>
      <c r="L102" s="1">
        <v>21</v>
      </c>
      <c r="M102" s="1">
        <f t="shared" si="4"/>
        <v>0</v>
      </c>
      <c r="N102" s="1" t="s">
        <v>20</v>
      </c>
      <c r="O102" s="1">
        <v>9</v>
      </c>
      <c r="P102" s="1">
        <f>VLOOKUP(N102,Info!$G$43:$I$46,3,FALSE)</f>
        <v>110</v>
      </c>
      <c r="Q102" s="1">
        <f>VLOOKUP(N102,Info!$G$43:$I$46,2,FALSE)</f>
        <v>3500</v>
      </c>
      <c r="R102" s="6">
        <f t="shared" si="5"/>
        <v>4.9090909090909092</v>
      </c>
    </row>
    <row r="103" spans="10:18" x14ac:dyDescent="0.45">
      <c r="J103" s="1">
        <v>102</v>
      </c>
      <c r="K103" s="1">
        <v>36</v>
      </c>
      <c r="L103" s="1">
        <v>35</v>
      </c>
      <c r="M103" s="1">
        <f t="shared" si="4"/>
        <v>0</v>
      </c>
      <c r="N103" s="1" t="s">
        <v>31</v>
      </c>
      <c r="O103" s="1">
        <v>10</v>
      </c>
      <c r="P103" s="1">
        <f>VLOOKUP(N103,Info!$G$43:$I$46,3,FALSE)</f>
        <v>70</v>
      </c>
      <c r="Q103" s="1">
        <f>VLOOKUP(N103,Info!$G$43:$I$46,2,FALSE)</f>
        <v>2000</v>
      </c>
      <c r="R103" s="6">
        <f t="shared" si="5"/>
        <v>8.5714285714285712</v>
      </c>
    </row>
    <row r="104" spans="10:18" x14ac:dyDescent="0.45">
      <c r="J104" s="1">
        <v>103</v>
      </c>
      <c r="K104" s="1">
        <v>36</v>
      </c>
      <c r="L104" s="1">
        <v>37</v>
      </c>
      <c r="M104" s="1">
        <f t="shared" si="4"/>
        <v>0</v>
      </c>
      <c r="N104" s="1" t="s">
        <v>31</v>
      </c>
      <c r="O104" s="1">
        <v>1</v>
      </c>
      <c r="P104" s="1">
        <f>VLOOKUP(N104,Info!$G$43:$I$46,3,FALSE)</f>
        <v>70</v>
      </c>
      <c r="Q104" s="1">
        <f>VLOOKUP(N104,Info!$G$43:$I$46,2,FALSE)</f>
        <v>2000</v>
      </c>
      <c r="R104" s="6">
        <f t="shared" si="5"/>
        <v>0.8571428571428571</v>
      </c>
    </row>
    <row r="105" spans="10:18" x14ac:dyDescent="0.45">
      <c r="J105" s="1">
        <v>104</v>
      </c>
      <c r="K105" s="1">
        <v>36</v>
      </c>
      <c r="L105" s="1">
        <v>43</v>
      </c>
      <c r="M105" s="1">
        <f t="shared" si="4"/>
        <v>0</v>
      </c>
      <c r="N105" s="1" t="s">
        <v>20</v>
      </c>
      <c r="O105" s="1">
        <v>6</v>
      </c>
      <c r="P105" s="1">
        <f>VLOOKUP(N105,Info!$G$43:$I$46,3,FALSE)</f>
        <v>110</v>
      </c>
      <c r="Q105" s="1">
        <f>VLOOKUP(N105,Info!$G$43:$I$46,2,FALSE)</f>
        <v>3500</v>
      </c>
      <c r="R105" s="6">
        <f t="shared" si="5"/>
        <v>3.2727272727272725</v>
      </c>
    </row>
    <row r="106" spans="10:18" x14ac:dyDescent="0.45">
      <c r="J106" s="1">
        <v>105</v>
      </c>
      <c r="K106" s="1">
        <v>37</v>
      </c>
      <c r="L106" s="1">
        <v>22</v>
      </c>
      <c r="M106" s="1">
        <f t="shared" si="4"/>
        <v>0</v>
      </c>
      <c r="N106" s="1" t="s">
        <v>26</v>
      </c>
      <c r="O106" s="1">
        <v>10</v>
      </c>
      <c r="P106" s="1">
        <f>VLOOKUP(N106,Info!$G$43:$I$46,3,FALSE)</f>
        <v>90</v>
      </c>
      <c r="Q106" s="1">
        <f>VLOOKUP(N106,Info!$G$43:$I$46,2,FALSE)</f>
        <v>3000</v>
      </c>
      <c r="R106" s="6">
        <f t="shared" si="5"/>
        <v>6.6666666666666661</v>
      </c>
    </row>
    <row r="107" spans="10:18" x14ac:dyDescent="0.45">
      <c r="J107" s="1">
        <v>106</v>
      </c>
      <c r="K107" s="1">
        <v>37</v>
      </c>
      <c r="L107" s="1">
        <v>36</v>
      </c>
      <c r="M107" s="1">
        <f t="shared" si="4"/>
        <v>0</v>
      </c>
      <c r="N107" s="1" t="s">
        <v>31</v>
      </c>
      <c r="O107" s="1">
        <v>1</v>
      </c>
      <c r="P107" s="1">
        <f>VLOOKUP(N107,Info!$G$43:$I$46,3,FALSE)</f>
        <v>70</v>
      </c>
      <c r="Q107" s="1">
        <f>VLOOKUP(N107,Info!$G$43:$I$46,2,FALSE)</f>
        <v>2000</v>
      </c>
      <c r="R107" s="6">
        <f t="shared" si="5"/>
        <v>0.8571428571428571</v>
      </c>
    </row>
    <row r="108" spans="10:18" x14ac:dyDescent="0.45">
      <c r="J108" s="1">
        <v>107</v>
      </c>
      <c r="K108" s="1">
        <v>37</v>
      </c>
      <c r="L108" s="1">
        <v>38</v>
      </c>
      <c r="M108" s="1">
        <f t="shared" si="4"/>
        <v>0</v>
      </c>
      <c r="N108" s="1" t="s">
        <v>31</v>
      </c>
      <c r="O108" s="1">
        <v>2</v>
      </c>
      <c r="P108" s="1">
        <f>VLOOKUP(N108,Info!$G$43:$I$46,3,FALSE)</f>
        <v>70</v>
      </c>
      <c r="Q108" s="1">
        <f>VLOOKUP(N108,Info!$G$43:$I$46,2,FALSE)</f>
        <v>2000</v>
      </c>
      <c r="R108" s="6">
        <f t="shared" si="5"/>
        <v>1.7142857142857142</v>
      </c>
    </row>
    <row r="109" spans="10:18" x14ac:dyDescent="0.45">
      <c r="J109" s="1">
        <v>108</v>
      </c>
      <c r="K109" s="1">
        <v>37</v>
      </c>
      <c r="L109" s="1">
        <v>44</v>
      </c>
      <c r="M109" s="1">
        <f t="shared" si="4"/>
        <v>0</v>
      </c>
      <c r="N109" s="1" t="s">
        <v>26</v>
      </c>
      <c r="O109" s="1">
        <v>6</v>
      </c>
      <c r="P109" s="1">
        <f>VLOOKUP(N109,Info!$G$43:$I$46,3,FALSE)</f>
        <v>90</v>
      </c>
      <c r="Q109" s="1">
        <f>VLOOKUP(N109,Info!$G$43:$I$46,2,FALSE)</f>
        <v>3000</v>
      </c>
      <c r="R109" s="6">
        <f t="shared" si="5"/>
        <v>4</v>
      </c>
    </row>
    <row r="110" spans="10:18" x14ac:dyDescent="0.45">
      <c r="J110" s="1">
        <v>109</v>
      </c>
      <c r="K110" s="1">
        <v>38</v>
      </c>
      <c r="L110" s="1">
        <v>23</v>
      </c>
      <c r="M110" s="1">
        <f t="shared" si="4"/>
        <v>0</v>
      </c>
      <c r="N110" s="1" t="s">
        <v>26</v>
      </c>
      <c r="O110" s="1">
        <v>8</v>
      </c>
      <c r="P110" s="1">
        <f>VLOOKUP(N110,Info!$G$43:$I$46,3,FALSE)</f>
        <v>90</v>
      </c>
      <c r="Q110" s="1">
        <f>VLOOKUP(N110,Info!$G$43:$I$46,2,FALSE)</f>
        <v>3000</v>
      </c>
      <c r="R110" s="6">
        <f t="shared" si="5"/>
        <v>5.3333333333333339</v>
      </c>
    </row>
    <row r="111" spans="10:18" x14ac:dyDescent="0.45">
      <c r="J111" s="1">
        <v>110</v>
      </c>
      <c r="K111" s="1">
        <v>38</v>
      </c>
      <c r="L111" s="1">
        <v>26</v>
      </c>
      <c r="M111" s="1">
        <f t="shared" si="4"/>
        <v>0</v>
      </c>
      <c r="N111" s="1" t="s">
        <v>31</v>
      </c>
      <c r="O111" s="1">
        <v>2</v>
      </c>
      <c r="P111" s="1">
        <f>VLOOKUP(N111,Info!$G$43:$I$46,3,FALSE)</f>
        <v>70</v>
      </c>
      <c r="Q111" s="1">
        <f>VLOOKUP(N111,Info!$G$43:$I$46,2,FALSE)</f>
        <v>2000</v>
      </c>
      <c r="R111" s="6">
        <f t="shared" si="5"/>
        <v>1.7142857142857142</v>
      </c>
    </row>
    <row r="112" spans="10:18" x14ac:dyDescent="0.45">
      <c r="J112" s="1">
        <v>111</v>
      </c>
      <c r="K112" s="1">
        <v>38</v>
      </c>
      <c r="L112" s="1">
        <v>37</v>
      </c>
      <c r="M112" s="1">
        <f t="shared" si="4"/>
        <v>0</v>
      </c>
      <c r="N112" s="1" t="s">
        <v>31</v>
      </c>
      <c r="O112" s="1">
        <v>2</v>
      </c>
      <c r="P112" s="1">
        <f>VLOOKUP(N112,Info!$G$43:$I$46,3,FALSE)</f>
        <v>70</v>
      </c>
      <c r="Q112" s="1">
        <f>VLOOKUP(N112,Info!$G$43:$I$46,2,FALSE)</f>
        <v>2000</v>
      </c>
      <c r="R112" s="6">
        <f t="shared" si="5"/>
        <v>1.7142857142857142</v>
      </c>
    </row>
    <row r="113" spans="10:18" x14ac:dyDescent="0.45">
      <c r="J113" s="1">
        <v>112</v>
      </c>
      <c r="K113" s="1">
        <v>38</v>
      </c>
      <c r="L113" s="1">
        <v>39</v>
      </c>
      <c r="M113" s="1">
        <f t="shared" si="4"/>
        <v>0</v>
      </c>
      <c r="N113" s="1" t="s">
        <v>26</v>
      </c>
      <c r="O113" s="1">
        <v>6</v>
      </c>
      <c r="P113" s="1">
        <f>VLOOKUP(N113,Info!$G$43:$I$46,3,FALSE)</f>
        <v>90</v>
      </c>
      <c r="Q113" s="1">
        <f>VLOOKUP(N113,Info!$G$43:$I$46,2,FALSE)</f>
        <v>3000</v>
      </c>
      <c r="R113" s="6">
        <f t="shared" si="5"/>
        <v>4</v>
      </c>
    </row>
    <row r="114" spans="10:18" x14ac:dyDescent="0.45">
      <c r="J114" s="1">
        <v>113</v>
      </c>
      <c r="K114" s="1">
        <v>39</v>
      </c>
      <c r="L114" s="1">
        <v>27</v>
      </c>
      <c r="M114" s="1">
        <f t="shared" si="4"/>
        <v>0</v>
      </c>
      <c r="N114" s="1" t="s">
        <v>26</v>
      </c>
      <c r="O114" s="1">
        <v>1</v>
      </c>
      <c r="P114" s="1">
        <f>VLOOKUP(N114,Info!$G$43:$I$46,3,FALSE)</f>
        <v>90</v>
      </c>
      <c r="Q114" s="1">
        <f>VLOOKUP(N114,Info!$G$43:$I$46,2,FALSE)</f>
        <v>3000</v>
      </c>
      <c r="R114" s="6">
        <f t="shared" si="5"/>
        <v>0.66666666666666674</v>
      </c>
    </row>
    <row r="115" spans="10:18" x14ac:dyDescent="0.45">
      <c r="J115" s="1">
        <v>114</v>
      </c>
      <c r="K115" s="1">
        <v>39</v>
      </c>
      <c r="L115" s="1">
        <v>38</v>
      </c>
      <c r="M115" s="1">
        <f t="shared" si="4"/>
        <v>0</v>
      </c>
      <c r="N115" s="1" t="s">
        <v>26</v>
      </c>
      <c r="O115" s="1">
        <v>6</v>
      </c>
      <c r="P115" s="1">
        <f>VLOOKUP(N115,Info!$G$43:$I$46,3,FALSE)</f>
        <v>90</v>
      </c>
      <c r="Q115" s="1">
        <f>VLOOKUP(N115,Info!$G$43:$I$46,2,FALSE)</f>
        <v>3000</v>
      </c>
      <c r="R115" s="6">
        <f t="shared" si="5"/>
        <v>4</v>
      </c>
    </row>
    <row r="116" spans="10:18" x14ac:dyDescent="0.45">
      <c r="J116" s="1">
        <v>115</v>
      </c>
      <c r="K116" s="1">
        <v>39</v>
      </c>
      <c r="L116" s="1">
        <v>40</v>
      </c>
      <c r="M116" s="1">
        <f t="shared" si="4"/>
        <v>0</v>
      </c>
      <c r="N116" s="1" t="s">
        <v>26</v>
      </c>
      <c r="O116" s="1">
        <v>5</v>
      </c>
      <c r="P116" s="1">
        <f>VLOOKUP(N116,Info!$G$43:$I$46,3,FALSE)</f>
        <v>90</v>
      </c>
      <c r="Q116" s="1">
        <f>VLOOKUP(N116,Info!$G$43:$I$46,2,FALSE)</f>
        <v>3000</v>
      </c>
      <c r="R116" s="6">
        <f t="shared" si="5"/>
        <v>3.333333333333333</v>
      </c>
    </row>
    <row r="117" spans="10:18" x14ac:dyDescent="0.45">
      <c r="J117" s="1">
        <v>116</v>
      </c>
      <c r="K117" s="1">
        <v>39</v>
      </c>
      <c r="L117" s="1">
        <v>44</v>
      </c>
      <c r="M117" s="1">
        <f t="shared" si="4"/>
        <v>0</v>
      </c>
      <c r="N117" s="1" t="s">
        <v>26</v>
      </c>
      <c r="O117" s="1">
        <v>2</v>
      </c>
      <c r="P117" s="1">
        <f>VLOOKUP(N117,Info!$G$43:$I$46,3,FALSE)</f>
        <v>90</v>
      </c>
      <c r="Q117" s="1">
        <f>VLOOKUP(N117,Info!$G$43:$I$46,2,FALSE)</f>
        <v>3000</v>
      </c>
      <c r="R117" s="6">
        <f t="shared" si="5"/>
        <v>1.3333333333333335</v>
      </c>
    </row>
    <row r="118" spans="10:18" x14ac:dyDescent="0.45">
      <c r="J118" s="1">
        <v>117</v>
      </c>
      <c r="K118" s="1">
        <v>40</v>
      </c>
      <c r="L118" s="1">
        <v>28</v>
      </c>
      <c r="M118" s="1">
        <f t="shared" si="4"/>
        <v>40</v>
      </c>
      <c r="N118" s="1" t="s">
        <v>20</v>
      </c>
      <c r="O118" s="1">
        <v>1</v>
      </c>
      <c r="P118" s="1">
        <f>VLOOKUP(N118,Info!$G$43:$I$46,3,FALSE)</f>
        <v>110</v>
      </c>
      <c r="Q118" s="1">
        <f>VLOOKUP(N118,Info!$G$43:$I$46,2,FALSE)</f>
        <v>3500</v>
      </c>
      <c r="R118" s="6">
        <f t="shared" si="5"/>
        <v>0.54545454545454541</v>
      </c>
    </row>
    <row r="119" spans="10:18" x14ac:dyDescent="0.45">
      <c r="J119" s="1">
        <v>118</v>
      </c>
      <c r="K119" s="1">
        <v>40</v>
      </c>
      <c r="L119" s="1">
        <v>39</v>
      </c>
      <c r="M119" s="1">
        <f t="shared" si="4"/>
        <v>40</v>
      </c>
      <c r="N119" s="1" t="s">
        <v>26</v>
      </c>
      <c r="O119" s="1">
        <v>5</v>
      </c>
      <c r="P119" s="1">
        <f>VLOOKUP(N119,Info!$G$43:$I$46,3,FALSE)</f>
        <v>90</v>
      </c>
      <c r="Q119" s="1">
        <f>VLOOKUP(N119,Info!$G$43:$I$46,2,FALSE)</f>
        <v>3000</v>
      </c>
      <c r="R119" s="6">
        <f t="shared" si="5"/>
        <v>3.333333333333333</v>
      </c>
    </row>
    <row r="120" spans="10:18" x14ac:dyDescent="0.45">
      <c r="J120" s="1">
        <v>119</v>
      </c>
      <c r="K120" s="1">
        <v>40</v>
      </c>
      <c r="L120" s="1">
        <v>41</v>
      </c>
      <c r="M120" s="1">
        <f t="shared" si="4"/>
        <v>40</v>
      </c>
      <c r="N120" s="1" t="s">
        <v>20</v>
      </c>
      <c r="O120" s="1">
        <v>2</v>
      </c>
      <c r="P120" s="1">
        <f>VLOOKUP(N120,Info!$G$43:$I$46,3,FALSE)</f>
        <v>110</v>
      </c>
      <c r="Q120" s="1">
        <f>VLOOKUP(N120,Info!$G$43:$I$46,2,FALSE)</f>
        <v>3500</v>
      </c>
      <c r="R120" s="6">
        <f t="shared" si="5"/>
        <v>1.0909090909090908</v>
      </c>
    </row>
    <row r="121" spans="10:18" x14ac:dyDescent="0.45">
      <c r="J121" s="1">
        <v>120</v>
      </c>
      <c r="K121" s="1">
        <v>41</v>
      </c>
      <c r="L121" s="1">
        <v>40</v>
      </c>
      <c r="M121" s="1">
        <f t="shared" si="4"/>
        <v>0</v>
      </c>
      <c r="N121" s="1" t="s">
        <v>20</v>
      </c>
      <c r="O121" s="1">
        <v>2</v>
      </c>
      <c r="P121" s="1">
        <f>VLOOKUP(N121,Info!$G$43:$I$46,3,FALSE)</f>
        <v>110</v>
      </c>
      <c r="Q121" s="1">
        <f>VLOOKUP(N121,Info!$G$43:$I$46,2,FALSE)</f>
        <v>3500</v>
      </c>
      <c r="R121" s="6">
        <f t="shared" si="5"/>
        <v>1.0909090909090908</v>
      </c>
    </row>
    <row r="122" spans="10:18" x14ac:dyDescent="0.45">
      <c r="J122" s="1">
        <v>121</v>
      </c>
      <c r="K122" s="1">
        <v>41</v>
      </c>
      <c r="L122" s="1">
        <v>42</v>
      </c>
      <c r="M122" s="1">
        <f t="shared" si="4"/>
        <v>0</v>
      </c>
      <c r="N122" s="1" t="s">
        <v>20</v>
      </c>
      <c r="O122" s="1">
        <v>2</v>
      </c>
      <c r="P122" s="1">
        <f>VLOOKUP(N122,Info!$G$43:$I$46,3,FALSE)</f>
        <v>110</v>
      </c>
      <c r="Q122" s="1">
        <f>VLOOKUP(N122,Info!$G$43:$I$46,2,FALSE)</f>
        <v>3500</v>
      </c>
      <c r="R122" s="6">
        <f t="shared" si="5"/>
        <v>1.0909090909090908</v>
      </c>
    </row>
    <row r="123" spans="10:18" x14ac:dyDescent="0.45">
      <c r="J123" s="1">
        <v>122</v>
      </c>
      <c r="K123" s="1">
        <v>41</v>
      </c>
      <c r="L123" s="1">
        <v>44</v>
      </c>
      <c r="M123" s="1">
        <f t="shared" si="4"/>
        <v>0</v>
      </c>
      <c r="N123" s="1" t="s">
        <v>26</v>
      </c>
      <c r="O123" s="1">
        <v>4</v>
      </c>
      <c r="P123" s="1">
        <f>VLOOKUP(N123,Info!$G$43:$I$46,3,FALSE)</f>
        <v>90</v>
      </c>
      <c r="Q123" s="1">
        <f>VLOOKUP(N123,Info!$G$43:$I$46,2,FALSE)</f>
        <v>3000</v>
      </c>
      <c r="R123" s="6">
        <f t="shared" si="5"/>
        <v>2.666666666666667</v>
      </c>
    </row>
    <row r="124" spans="10:18" x14ac:dyDescent="0.45">
      <c r="J124" s="1">
        <v>123</v>
      </c>
      <c r="K124" s="1">
        <v>42</v>
      </c>
      <c r="L124" s="1">
        <v>33</v>
      </c>
      <c r="M124" s="1">
        <f t="shared" si="4"/>
        <v>42</v>
      </c>
      <c r="N124" s="1" t="s">
        <v>20</v>
      </c>
      <c r="O124" s="1">
        <v>8</v>
      </c>
      <c r="P124" s="1">
        <f>VLOOKUP(N124,Info!$G$43:$I$46,3,FALSE)</f>
        <v>110</v>
      </c>
      <c r="Q124" s="1">
        <f>VLOOKUP(N124,Info!$G$43:$I$46,2,FALSE)</f>
        <v>3500</v>
      </c>
      <c r="R124" s="6">
        <f t="shared" si="5"/>
        <v>4.3636363636363633</v>
      </c>
    </row>
    <row r="125" spans="10:18" x14ac:dyDescent="0.45">
      <c r="J125" s="1">
        <v>124</v>
      </c>
      <c r="K125" s="1">
        <v>42</v>
      </c>
      <c r="L125" s="1">
        <v>41</v>
      </c>
      <c r="M125" s="1">
        <f t="shared" si="4"/>
        <v>42</v>
      </c>
      <c r="N125" s="1" t="s">
        <v>20</v>
      </c>
      <c r="O125" s="1">
        <v>2</v>
      </c>
      <c r="P125" s="1">
        <f>VLOOKUP(N125,Info!$G$43:$I$46,3,FALSE)</f>
        <v>110</v>
      </c>
      <c r="Q125" s="1">
        <f>VLOOKUP(N125,Info!$G$43:$I$46,2,FALSE)</f>
        <v>3500</v>
      </c>
      <c r="R125" s="6">
        <f t="shared" si="5"/>
        <v>1.0909090909090908</v>
      </c>
    </row>
    <row r="126" spans="10:18" x14ac:dyDescent="0.45">
      <c r="J126" s="1">
        <v>125</v>
      </c>
      <c r="K126" s="1">
        <v>42</v>
      </c>
      <c r="L126" s="1">
        <v>43</v>
      </c>
      <c r="M126" s="1">
        <f t="shared" si="4"/>
        <v>42</v>
      </c>
      <c r="N126" s="1" t="s">
        <v>20</v>
      </c>
      <c r="O126" s="1">
        <v>2</v>
      </c>
      <c r="P126" s="1">
        <f>VLOOKUP(N126,Info!$G$43:$I$46,3,FALSE)</f>
        <v>110</v>
      </c>
      <c r="Q126" s="1">
        <f>VLOOKUP(N126,Info!$G$43:$I$46,2,FALSE)</f>
        <v>3500</v>
      </c>
      <c r="R126" s="6">
        <f t="shared" si="5"/>
        <v>1.0909090909090908</v>
      </c>
    </row>
    <row r="127" spans="10:18" x14ac:dyDescent="0.45">
      <c r="J127" s="1">
        <v>126</v>
      </c>
      <c r="K127" s="1">
        <v>43</v>
      </c>
      <c r="L127" s="1">
        <v>36</v>
      </c>
      <c r="M127" s="1">
        <f t="shared" si="4"/>
        <v>43</v>
      </c>
      <c r="N127" s="1" t="s">
        <v>20</v>
      </c>
      <c r="O127" s="1">
        <v>6</v>
      </c>
      <c r="P127" s="1">
        <f>VLOOKUP(N127,Info!$G$43:$I$46,3,FALSE)</f>
        <v>110</v>
      </c>
      <c r="Q127" s="1">
        <f>VLOOKUP(N127,Info!$G$43:$I$46,2,FALSE)</f>
        <v>3500</v>
      </c>
      <c r="R127" s="6">
        <f t="shared" si="5"/>
        <v>3.2727272727272725</v>
      </c>
    </row>
    <row r="128" spans="10:18" x14ac:dyDescent="0.45">
      <c r="J128" s="1">
        <v>127</v>
      </c>
      <c r="K128" s="1">
        <v>43</v>
      </c>
      <c r="L128" s="1">
        <v>42</v>
      </c>
      <c r="M128" s="1">
        <f t="shared" si="4"/>
        <v>43</v>
      </c>
      <c r="N128" s="1" t="s">
        <v>20</v>
      </c>
      <c r="O128" s="1">
        <v>2</v>
      </c>
      <c r="P128" s="1">
        <f>VLOOKUP(N128,Info!$G$43:$I$46,3,FALSE)</f>
        <v>110</v>
      </c>
      <c r="Q128" s="1">
        <f>VLOOKUP(N128,Info!$G$43:$I$46,2,FALSE)</f>
        <v>3500</v>
      </c>
      <c r="R128" s="6">
        <f t="shared" si="5"/>
        <v>1.0909090909090908</v>
      </c>
    </row>
    <row r="129" spans="10:18" x14ac:dyDescent="0.45">
      <c r="J129" s="1">
        <v>128</v>
      </c>
      <c r="K129" s="1">
        <v>43</v>
      </c>
      <c r="L129" s="1">
        <v>44</v>
      </c>
      <c r="M129" s="1">
        <f t="shared" si="4"/>
        <v>43</v>
      </c>
      <c r="N129" s="1" t="s">
        <v>26</v>
      </c>
      <c r="O129" s="1">
        <v>1</v>
      </c>
      <c r="P129" s="1">
        <f>VLOOKUP(N129,Info!$G$43:$I$46,3,FALSE)</f>
        <v>90</v>
      </c>
      <c r="Q129" s="1">
        <f>VLOOKUP(N129,Info!$G$43:$I$46,2,FALSE)</f>
        <v>3000</v>
      </c>
      <c r="R129" s="6">
        <f t="shared" si="5"/>
        <v>0.66666666666666674</v>
      </c>
    </row>
    <row r="130" spans="10:18" x14ac:dyDescent="0.45">
      <c r="J130" s="1">
        <v>129</v>
      </c>
      <c r="K130" s="1">
        <v>44</v>
      </c>
      <c r="L130" s="1">
        <v>37</v>
      </c>
      <c r="M130" s="1">
        <f t="shared" ref="M130:M133" si="6">IFERROR(VLOOKUP(K130,$T$2:$T$13,1,FALSE),0)</f>
        <v>0</v>
      </c>
      <c r="N130" s="1" t="s">
        <v>26</v>
      </c>
      <c r="O130" s="1">
        <v>6</v>
      </c>
      <c r="P130" s="1">
        <f>VLOOKUP(N130,Info!$G$43:$I$46,3,FALSE)</f>
        <v>90</v>
      </c>
      <c r="Q130" s="1">
        <f>VLOOKUP(N130,Info!$G$43:$I$46,2,FALSE)</f>
        <v>3000</v>
      </c>
      <c r="R130" s="6">
        <f t="shared" ref="R130:R133" si="7">O130/P130*60</f>
        <v>4</v>
      </c>
    </row>
    <row r="131" spans="10:18" x14ac:dyDescent="0.45">
      <c r="J131" s="1">
        <v>130</v>
      </c>
      <c r="K131" s="1">
        <v>44</v>
      </c>
      <c r="L131" s="1">
        <v>39</v>
      </c>
      <c r="M131" s="1">
        <f t="shared" si="6"/>
        <v>0</v>
      </c>
      <c r="N131" s="1" t="s">
        <v>26</v>
      </c>
      <c r="O131" s="1">
        <v>2</v>
      </c>
      <c r="P131" s="1">
        <f>VLOOKUP(N131,Info!$G$43:$I$46,3,FALSE)</f>
        <v>90</v>
      </c>
      <c r="Q131" s="1">
        <f>VLOOKUP(N131,Info!$G$43:$I$46,2,FALSE)</f>
        <v>3000</v>
      </c>
      <c r="R131" s="6">
        <f t="shared" si="7"/>
        <v>1.3333333333333335</v>
      </c>
    </row>
    <row r="132" spans="10:18" x14ac:dyDescent="0.45">
      <c r="J132" s="1">
        <v>131</v>
      </c>
      <c r="K132" s="1">
        <v>44</v>
      </c>
      <c r="L132" s="1">
        <v>41</v>
      </c>
      <c r="M132" s="1">
        <f t="shared" si="6"/>
        <v>0</v>
      </c>
      <c r="N132" s="1" t="s">
        <v>26</v>
      </c>
      <c r="O132" s="1">
        <v>4</v>
      </c>
      <c r="P132" s="1">
        <f>VLOOKUP(N132,Info!$G$43:$I$46,3,FALSE)</f>
        <v>90</v>
      </c>
      <c r="Q132" s="1">
        <f>VLOOKUP(N132,Info!$G$43:$I$46,2,FALSE)</f>
        <v>3000</v>
      </c>
      <c r="R132" s="6">
        <f t="shared" si="7"/>
        <v>2.666666666666667</v>
      </c>
    </row>
    <row r="133" spans="10:18" x14ac:dyDescent="0.45">
      <c r="J133" s="1">
        <v>132</v>
      </c>
      <c r="K133" s="1">
        <v>44</v>
      </c>
      <c r="L133" s="1">
        <v>43</v>
      </c>
      <c r="M133" s="1">
        <f t="shared" si="6"/>
        <v>0</v>
      </c>
      <c r="N133" s="1" t="s">
        <v>26</v>
      </c>
      <c r="O133" s="1">
        <v>1</v>
      </c>
      <c r="P133" s="1">
        <f>VLOOKUP(N133,Info!$G$43:$I$46,3,FALSE)</f>
        <v>90</v>
      </c>
      <c r="Q133" s="1">
        <f>VLOOKUP(N133,Info!$G$43:$I$46,2,FALSE)</f>
        <v>3000</v>
      </c>
      <c r="R133" s="6">
        <f t="shared" si="7"/>
        <v>0.66666666666666674</v>
      </c>
    </row>
  </sheetData>
  <mergeCells count="1">
    <mergeCell ref="A30:D3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SClearNetNum">
                <anchor moveWithCells="1" sizeWithCells="1">
                  <from>
                    <xdr:col>0</xdr:col>
                    <xdr:colOff>0</xdr:colOff>
                    <xdr:row>21</xdr:row>
                    <xdr:rowOff>19050</xdr:rowOff>
                  </from>
                  <to>
                    <xdr:col>3</xdr:col>
                    <xdr:colOff>376238</xdr:colOff>
                    <xdr:row>23</xdr:row>
                    <xdr:rowOff>147638</xdr:rowOff>
                  </to>
                </anchor>
              </controlPr>
            </control>
          </mc:Choice>
        </mc:AlternateContent>
        <mc:AlternateContent xmlns:mc="http://schemas.openxmlformats.org/markup-compatibility/2006">
          <mc:Choice Requires="x14">
            <control shapeId="2050" r:id="rId4" name="Button 2">
              <controlPr defaultSize="0" print="0" autoFill="0" autoPict="0" macro="[0]!SReadNetNum">
                <anchor moveWithCells="1" sizeWithCells="1">
                  <from>
                    <xdr:col>0</xdr:col>
                    <xdr:colOff>0</xdr:colOff>
                    <xdr:row>25</xdr:row>
                    <xdr:rowOff>33338</xdr:rowOff>
                  </from>
                  <to>
                    <xdr:col>3</xdr:col>
                    <xdr:colOff>376238</xdr:colOff>
                    <xdr:row>27</xdr:row>
                    <xdr:rowOff>176213</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7B4F12-2C51-4C98-904A-D0CF6633C4BF}">
  <sheetPr codeName="Pro"/>
  <dimension ref="A1:Z29"/>
  <sheetViews>
    <sheetView zoomScale="90" zoomScaleNormal="90" workbookViewId="0">
      <selection activeCell="H18" sqref="H18"/>
    </sheetView>
  </sheetViews>
  <sheetFormatPr defaultColWidth="8.73046875" defaultRowHeight="14.25" x14ac:dyDescent="0.45"/>
  <cols>
    <col min="1" max="1" width="10.06640625" style="1" bestFit="1" customWidth="1"/>
    <col min="2" max="2" width="9.53125" style="1" bestFit="1" customWidth="1"/>
    <col min="3" max="3" width="6.33203125" style="1" bestFit="1" customWidth="1"/>
    <col min="4" max="4" width="7.796875" style="1" bestFit="1" customWidth="1"/>
    <col min="5" max="5" width="8.73046875" style="1"/>
    <col min="6" max="6" width="7.33203125" style="1" bestFit="1" customWidth="1"/>
    <col min="7" max="7" width="9" style="1" bestFit="1" customWidth="1"/>
    <col min="8" max="8" width="8.796875" style="1" bestFit="1" customWidth="1"/>
    <col min="9" max="9" width="10" style="1" bestFit="1" customWidth="1"/>
    <col min="10" max="10" width="10.06640625" style="1" bestFit="1" customWidth="1"/>
    <col min="11" max="16" width="8.796875" style="1" bestFit="1" customWidth="1"/>
    <col min="17" max="17" width="9.06640625" style="1" customWidth="1"/>
    <col min="18" max="18" width="12.73046875" style="1" bestFit="1" customWidth="1"/>
    <col min="19" max="19" width="8.46484375" style="1" bestFit="1" customWidth="1"/>
    <col min="20" max="16384" width="8.73046875" style="1"/>
  </cols>
  <sheetData>
    <row r="1" spans="1:26" x14ac:dyDescent="0.45">
      <c r="A1" s="4" t="s">
        <v>295</v>
      </c>
      <c r="B1" s="4" t="s">
        <v>296</v>
      </c>
      <c r="C1" s="4" t="s">
        <v>297</v>
      </c>
      <c r="D1" s="4" t="s">
        <v>298</v>
      </c>
      <c r="F1" s="4" t="s">
        <v>68</v>
      </c>
      <c r="G1" s="4" t="s">
        <v>72</v>
      </c>
      <c r="H1" s="4" t="s">
        <v>81</v>
      </c>
      <c r="I1" s="4" t="s">
        <v>83</v>
      </c>
      <c r="J1" s="4" t="s">
        <v>85</v>
      </c>
      <c r="K1" s="4" t="s">
        <v>121</v>
      </c>
      <c r="L1" s="4" t="s">
        <v>113</v>
      </c>
      <c r="M1" s="4" t="s">
        <v>139</v>
      </c>
      <c r="N1" s="4" t="s">
        <v>131</v>
      </c>
      <c r="O1" s="4" t="s">
        <v>318</v>
      </c>
      <c r="P1" s="4" t="s">
        <v>319</v>
      </c>
      <c r="Q1"/>
      <c r="R1"/>
      <c r="S1"/>
      <c r="T1"/>
      <c r="U1"/>
      <c r="V1"/>
      <c r="W1"/>
    </row>
    <row r="2" spans="1:26" x14ac:dyDescent="0.45">
      <c r="A2" s="5" t="s">
        <v>81</v>
      </c>
      <c r="B2" s="1" t="s">
        <v>17</v>
      </c>
      <c r="C2" s="1" t="s">
        <v>299</v>
      </c>
      <c r="F2" s="1">
        <f>NetNum!T2</f>
        <v>9</v>
      </c>
      <c r="G2" s="1" t="s">
        <v>27</v>
      </c>
      <c r="H2" s="7">
        <v>11201</v>
      </c>
      <c r="I2" s="7">
        <v>18964</v>
      </c>
      <c r="J2" s="7">
        <v>16081</v>
      </c>
      <c r="K2" s="7">
        <f>H2*$D$5+I2*$D$6+J2*$D$7</f>
        <v>31939.699999999997</v>
      </c>
      <c r="L2" s="7">
        <f>H2*$D$5+I2*$D$6+J2*$D$7</f>
        <v>31939.699999999997</v>
      </c>
      <c r="M2" s="7">
        <f>H2*$D$8+I2*$D$9+J2*$D$10</f>
        <v>32516.3</v>
      </c>
      <c r="N2" s="7">
        <f>H2*$D$8+I2*$D$9+J2*$D$10</f>
        <v>32516.3</v>
      </c>
      <c r="O2" s="7">
        <f>SUM(K2,M2)</f>
        <v>64456</v>
      </c>
      <c r="P2" s="7">
        <f>SUM(L2,N2)</f>
        <v>64456</v>
      </c>
      <c r="Q2"/>
      <c r="R2"/>
      <c r="S2"/>
      <c r="T2"/>
      <c r="U2"/>
      <c r="V2"/>
      <c r="W2"/>
    </row>
    <row r="3" spans="1:26" x14ac:dyDescent="0.45">
      <c r="A3" s="5" t="s">
        <v>83</v>
      </c>
      <c r="B3" s="1" t="s">
        <v>17</v>
      </c>
      <c r="C3" s="1" t="s">
        <v>300</v>
      </c>
      <c r="F3" s="1">
        <f>NetNum!T3</f>
        <v>12</v>
      </c>
      <c r="G3" s="1" t="s">
        <v>16</v>
      </c>
      <c r="H3" s="7">
        <v>15262</v>
      </c>
      <c r="I3" s="7">
        <v>34874</v>
      </c>
      <c r="J3" s="7">
        <v>30327</v>
      </c>
      <c r="K3" s="7">
        <f t="shared" ref="K3:K13" si="0">H3*$D$5+I3*$D$6+J3*$D$7</f>
        <v>53927.899999999994</v>
      </c>
      <c r="L3" s="7">
        <f t="shared" ref="L3:L13" si="1">H3*$D$5+I3*$D$6+J3*$D$7</f>
        <v>53927.899999999994</v>
      </c>
      <c r="M3" s="7">
        <f t="shared" ref="M3:M13" si="2">H3*$D$8+I3*$D$9+J3*$D$10</f>
        <v>54837.3</v>
      </c>
      <c r="N3" s="7">
        <f t="shared" ref="N3:N13" si="3">H3*$D$8+I3*$D$9+J3*$D$10</f>
        <v>54837.3</v>
      </c>
      <c r="O3" s="7">
        <f t="shared" ref="O3:P13" si="4">SUM(K3,M3)</f>
        <v>108765.2</v>
      </c>
      <c r="P3" s="7">
        <f t="shared" si="4"/>
        <v>108765.2</v>
      </c>
      <c r="Q3"/>
      <c r="R3"/>
      <c r="S3"/>
      <c r="T3"/>
      <c r="U3"/>
      <c r="V3"/>
      <c r="W3"/>
    </row>
    <row r="4" spans="1:26" x14ac:dyDescent="0.45">
      <c r="A4" s="5" t="s">
        <v>85</v>
      </c>
      <c r="B4" s="1" t="s">
        <v>17</v>
      </c>
      <c r="C4" s="1" t="s">
        <v>301</v>
      </c>
      <c r="F4" s="1">
        <f>NetNum!T4</f>
        <v>29</v>
      </c>
      <c r="G4" s="1" t="s">
        <v>16</v>
      </c>
      <c r="H4" s="7">
        <v>31854</v>
      </c>
      <c r="I4" s="7">
        <v>7365</v>
      </c>
      <c r="J4" s="7">
        <v>21307</v>
      </c>
      <c r="K4" s="7">
        <f t="shared" si="0"/>
        <v>50451.4</v>
      </c>
      <c r="L4" s="7">
        <f t="shared" si="1"/>
        <v>50451.4</v>
      </c>
      <c r="M4" s="7">
        <f t="shared" si="2"/>
        <v>47663</v>
      </c>
      <c r="N4" s="7">
        <f t="shared" si="3"/>
        <v>47663</v>
      </c>
      <c r="O4" s="7">
        <f t="shared" si="4"/>
        <v>98114.4</v>
      </c>
      <c r="P4" s="7">
        <f t="shared" si="4"/>
        <v>98114.4</v>
      </c>
      <c r="Q4"/>
      <c r="R4"/>
      <c r="S4"/>
      <c r="T4"/>
      <c r="U4"/>
      <c r="V4"/>
      <c r="W4"/>
    </row>
    <row r="5" spans="1:26" x14ac:dyDescent="0.45">
      <c r="A5" s="5" t="s">
        <v>87</v>
      </c>
      <c r="B5" s="1" t="s">
        <v>22</v>
      </c>
      <c r="C5" s="1" t="s">
        <v>320</v>
      </c>
      <c r="D5" s="8">
        <v>1</v>
      </c>
      <c r="F5" s="1">
        <f>NetNum!T5</f>
        <v>24</v>
      </c>
      <c r="G5" s="1" t="s">
        <v>16</v>
      </c>
      <c r="H5" s="7">
        <v>11798</v>
      </c>
      <c r="I5" s="7">
        <v>22129</v>
      </c>
      <c r="J5" s="7">
        <v>25472</v>
      </c>
      <c r="K5" s="7">
        <f t="shared" si="0"/>
        <v>40692.899999999994</v>
      </c>
      <c r="L5" s="7">
        <f t="shared" si="1"/>
        <v>40692.899999999994</v>
      </c>
      <c r="M5" s="7">
        <f t="shared" si="2"/>
        <v>40024.300000000003</v>
      </c>
      <c r="N5" s="7">
        <f t="shared" si="3"/>
        <v>40024.300000000003</v>
      </c>
      <c r="O5" s="7">
        <f t="shared" si="4"/>
        <v>80717.2</v>
      </c>
      <c r="P5" s="7">
        <f t="shared" si="4"/>
        <v>80717.2</v>
      </c>
      <c r="Q5"/>
      <c r="R5"/>
      <c r="S5"/>
      <c r="T5"/>
      <c r="U5"/>
      <c r="V5"/>
      <c r="W5"/>
    </row>
    <row r="6" spans="1:26" x14ac:dyDescent="0.45">
      <c r="A6" s="5" t="s">
        <v>89</v>
      </c>
      <c r="B6" s="1" t="s">
        <v>22</v>
      </c>
      <c r="C6" s="1" t="s">
        <v>321</v>
      </c>
      <c r="D6" s="8">
        <v>0.5</v>
      </c>
      <c r="F6" s="1">
        <f>NetNum!T6</f>
        <v>21</v>
      </c>
      <c r="G6" s="1" t="s">
        <v>16</v>
      </c>
      <c r="H6" s="7">
        <v>9184</v>
      </c>
      <c r="I6" s="7">
        <v>38579</v>
      </c>
      <c r="J6" s="7">
        <v>15555</v>
      </c>
      <c r="K6" s="7">
        <f t="shared" si="0"/>
        <v>39362</v>
      </c>
      <c r="L6" s="7">
        <f t="shared" si="1"/>
        <v>39362</v>
      </c>
      <c r="M6" s="7">
        <f t="shared" si="2"/>
        <v>43966.8</v>
      </c>
      <c r="N6" s="7">
        <f t="shared" si="3"/>
        <v>43966.8</v>
      </c>
      <c r="O6" s="7">
        <f t="shared" si="4"/>
        <v>83328.800000000003</v>
      </c>
      <c r="P6" s="7">
        <f t="shared" si="4"/>
        <v>83328.800000000003</v>
      </c>
      <c r="Q6"/>
      <c r="R6"/>
      <c r="S6"/>
      <c r="T6"/>
      <c r="U6"/>
      <c r="V6"/>
      <c r="W6"/>
    </row>
    <row r="7" spans="1:26" x14ac:dyDescent="0.45">
      <c r="A7" s="5" t="s">
        <v>91</v>
      </c>
      <c r="B7" s="1" t="s">
        <v>22</v>
      </c>
      <c r="C7" s="1" t="s">
        <v>322</v>
      </c>
      <c r="D7" s="8">
        <v>0.7</v>
      </c>
      <c r="F7" s="1">
        <f>NetNum!T7</f>
        <v>42</v>
      </c>
      <c r="G7" s="1" t="s">
        <v>16</v>
      </c>
      <c r="H7" s="7">
        <v>12894</v>
      </c>
      <c r="I7" s="7">
        <v>8816</v>
      </c>
      <c r="J7" s="7">
        <v>18982</v>
      </c>
      <c r="K7" s="7">
        <f t="shared" si="0"/>
        <v>30589.4</v>
      </c>
      <c r="L7" s="7">
        <f t="shared" si="1"/>
        <v>30589.4</v>
      </c>
      <c r="M7" s="7">
        <f t="shared" si="2"/>
        <v>28556.2</v>
      </c>
      <c r="N7" s="7">
        <f t="shared" si="3"/>
        <v>28556.2</v>
      </c>
      <c r="O7" s="7">
        <f t="shared" si="4"/>
        <v>59145.600000000006</v>
      </c>
      <c r="P7" s="7">
        <f t="shared" si="4"/>
        <v>59145.600000000006</v>
      </c>
      <c r="Q7"/>
      <c r="R7"/>
      <c r="S7"/>
      <c r="T7"/>
      <c r="U7"/>
      <c r="V7"/>
      <c r="W7"/>
      <c r="X7"/>
      <c r="Y7"/>
      <c r="Z7"/>
    </row>
    <row r="8" spans="1:26" x14ac:dyDescent="0.45">
      <c r="A8" s="5" t="s">
        <v>93</v>
      </c>
      <c r="B8" s="1" t="s">
        <v>22</v>
      </c>
      <c r="C8" s="1" t="s">
        <v>323</v>
      </c>
      <c r="D8" s="8">
        <v>1</v>
      </c>
      <c r="F8" s="1">
        <f>NetNum!T8</f>
        <v>43</v>
      </c>
      <c r="G8" s="1" t="s">
        <v>16</v>
      </c>
      <c r="H8" s="7">
        <v>37437</v>
      </c>
      <c r="I8" s="7">
        <v>30965</v>
      </c>
      <c r="J8" s="7">
        <v>36458</v>
      </c>
      <c r="K8" s="7">
        <f t="shared" si="0"/>
        <v>78440.100000000006</v>
      </c>
      <c r="L8" s="7">
        <f t="shared" si="1"/>
        <v>78440.100000000006</v>
      </c>
      <c r="M8" s="7">
        <f t="shared" si="2"/>
        <v>77341.5</v>
      </c>
      <c r="N8" s="7">
        <f t="shared" si="3"/>
        <v>77341.5</v>
      </c>
      <c r="O8" s="7">
        <f t="shared" si="4"/>
        <v>155781.6</v>
      </c>
      <c r="P8" s="7">
        <f t="shared" si="4"/>
        <v>155781.6</v>
      </c>
      <c r="Q8"/>
      <c r="R8"/>
      <c r="S8"/>
      <c r="T8"/>
      <c r="U8"/>
      <c r="V8"/>
      <c r="W8"/>
      <c r="X8"/>
      <c r="Y8"/>
      <c r="Z8"/>
    </row>
    <row r="9" spans="1:26" ht="14.55" customHeight="1" x14ac:dyDescent="0.45">
      <c r="A9" s="5" t="s">
        <v>95</v>
      </c>
      <c r="B9" s="1" t="s">
        <v>22</v>
      </c>
      <c r="C9" s="1" t="s">
        <v>324</v>
      </c>
      <c r="D9" s="8">
        <v>0.7</v>
      </c>
      <c r="F9" s="1">
        <f>NetNum!T9</f>
        <v>31</v>
      </c>
      <c r="G9" s="1" t="s">
        <v>16</v>
      </c>
      <c r="H9" s="7">
        <v>23501</v>
      </c>
      <c r="I9" s="7">
        <v>22553</v>
      </c>
      <c r="J9" s="7">
        <v>16598</v>
      </c>
      <c r="K9" s="7">
        <f t="shared" si="0"/>
        <v>46396.1</v>
      </c>
      <c r="L9" s="7">
        <f t="shared" si="1"/>
        <v>46396.1</v>
      </c>
      <c r="M9" s="7">
        <f t="shared" si="2"/>
        <v>47587.1</v>
      </c>
      <c r="N9" s="7">
        <f t="shared" si="3"/>
        <v>47587.1</v>
      </c>
      <c r="O9" s="7">
        <f t="shared" si="4"/>
        <v>93983.2</v>
      </c>
      <c r="P9" s="7">
        <f t="shared" si="4"/>
        <v>93983.2</v>
      </c>
      <c r="Q9"/>
      <c r="R9"/>
      <c r="S9"/>
      <c r="T9"/>
      <c r="U9"/>
      <c r="V9"/>
      <c r="W9"/>
      <c r="X9"/>
      <c r="Y9"/>
      <c r="Z9"/>
    </row>
    <row r="10" spans="1:26" x14ac:dyDescent="0.45">
      <c r="A10" s="5" t="s">
        <v>97</v>
      </c>
      <c r="B10" s="1" t="s">
        <v>22</v>
      </c>
      <c r="C10" s="1" t="s">
        <v>325</v>
      </c>
      <c r="D10" s="8">
        <v>0.5</v>
      </c>
      <c r="F10" s="1">
        <f>NetNum!T10</f>
        <v>33</v>
      </c>
      <c r="G10" s="1" t="s">
        <v>16</v>
      </c>
      <c r="H10" s="7">
        <v>13614</v>
      </c>
      <c r="I10" s="7">
        <v>10863</v>
      </c>
      <c r="J10" s="7">
        <v>24968</v>
      </c>
      <c r="K10" s="7">
        <f t="shared" si="0"/>
        <v>36523.1</v>
      </c>
      <c r="L10" s="7">
        <f t="shared" si="1"/>
        <v>36523.1</v>
      </c>
      <c r="M10" s="7">
        <f t="shared" si="2"/>
        <v>33702.1</v>
      </c>
      <c r="N10" s="7">
        <f t="shared" si="3"/>
        <v>33702.1</v>
      </c>
      <c r="O10" s="7">
        <f t="shared" si="4"/>
        <v>70225.2</v>
      </c>
      <c r="P10" s="7">
        <f t="shared" si="4"/>
        <v>70225.2</v>
      </c>
      <c r="Q10"/>
      <c r="R10"/>
      <c r="S10"/>
      <c r="T10"/>
      <c r="U10"/>
      <c r="V10"/>
      <c r="W10"/>
      <c r="X10"/>
      <c r="Y10"/>
      <c r="Z10"/>
    </row>
    <row r="11" spans="1:26" x14ac:dyDescent="0.45">
      <c r="A11" s="5" t="s">
        <v>99</v>
      </c>
      <c r="B11" s="1" t="s">
        <v>326</v>
      </c>
      <c r="C11" s="1" t="s">
        <v>327</v>
      </c>
      <c r="D11" s="1">
        <v>40000</v>
      </c>
      <c r="F11" s="1">
        <f>NetNum!T11</f>
        <v>30</v>
      </c>
      <c r="G11" s="1" t="s">
        <v>16</v>
      </c>
      <c r="H11" s="7">
        <v>16852</v>
      </c>
      <c r="I11" s="7">
        <v>35361</v>
      </c>
      <c r="J11" s="7">
        <v>31099</v>
      </c>
      <c r="K11" s="7">
        <f t="shared" si="0"/>
        <v>56301.8</v>
      </c>
      <c r="L11" s="7">
        <f t="shared" si="1"/>
        <v>56301.8</v>
      </c>
      <c r="M11" s="7">
        <f t="shared" si="2"/>
        <v>57154.2</v>
      </c>
      <c r="N11" s="7">
        <f t="shared" si="3"/>
        <v>57154.2</v>
      </c>
      <c r="O11" s="7">
        <f t="shared" si="4"/>
        <v>113456</v>
      </c>
      <c r="P11" s="7">
        <f t="shared" si="4"/>
        <v>113456</v>
      </c>
      <c r="Q11"/>
      <c r="R11"/>
      <c r="S11"/>
      <c r="T11"/>
      <c r="U11"/>
      <c r="V11"/>
      <c r="W11"/>
      <c r="X11"/>
      <c r="Y11"/>
      <c r="Z11"/>
    </row>
    <row r="12" spans="1:26" x14ac:dyDescent="0.45">
      <c r="A12" s="5" t="s">
        <v>101</v>
      </c>
      <c r="B12" s="1" t="s">
        <v>326</v>
      </c>
      <c r="C12" s="1" t="s">
        <v>328</v>
      </c>
      <c r="D12" s="1">
        <v>4000</v>
      </c>
      <c r="F12" s="1">
        <f>NetNum!T12</f>
        <v>18</v>
      </c>
      <c r="G12" s="1" t="s">
        <v>16</v>
      </c>
      <c r="H12" s="7">
        <v>4841</v>
      </c>
      <c r="I12" s="7">
        <v>36494</v>
      </c>
      <c r="J12" s="7">
        <v>35649</v>
      </c>
      <c r="K12" s="7">
        <f t="shared" si="0"/>
        <v>48042.3</v>
      </c>
      <c r="L12" s="7">
        <f t="shared" si="1"/>
        <v>48042.3</v>
      </c>
      <c r="M12" s="7">
        <f t="shared" si="2"/>
        <v>48211.3</v>
      </c>
      <c r="N12" s="7">
        <f t="shared" si="3"/>
        <v>48211.3</v>
      </c>
      <c r="O12" s="7">
        <f t="shared" si="4"/>
        <v>96253.6</v>
      </c>
      <c r="P12" s="7">
        <f t="shared" si="4"/>
        <v>96253.6</v>
      </c>
      <c r="Q12"/>
      <c r="R12"/>
      <c r="S12"/>
      <c r="T12"/>
      <c r="U12"/>
      <c r="V12"/>
      <c r="W12"/>
      <c r="X12"/>
      <c r="Y12"/>
      <c r="Z12"/>
    </row>
    <row r="13" spans="1:26" x14ac:dyDescent="0.45">
      <c r="F13" s="1">
        <f>NetNum!T13</f>
        <v>40</v>
      </c>
      <c r="G13" s="1" t="s">
        <v>16</v>
      </c>
      <c r="H13" s="7">
        <v>5599</v>
      </c>
      <c r="I13" s="7">
        <v>20246</v>
      </c>
      <c r="J13" s="7">
        <v>38558</v>
      </c>
      <c r="K13" s="7">
        <f t="shared" si="0"/>
        <v>42712.6</v>
      </c>
      <c r="L13" s="7">
        <f t="shared" si="1"/>
        <v>42712.6</v>
      </c>
      <c r="M13" s="7">
        <f t="shared" si="2"/>
        <v>39050.199999999997</v>
      </c>
      <c r="N13" s="7">
        <f t="shared" si="3"/>
        <v>39050.199999999997</v>
      </c>
      <c r="O13" s="7">
        <f t="shared" si="4"/>
        <v>81762.799999999988</v>
      </c>
      <c r="P13" s="7">
        <f t="shared" si="4"/>
        <v>81762.799999999988</v>
      </c>
      <c r="Q13"/>
      <c r="R13"/>
      <c r="S13"/>
      <c r="T13"/>
      <c r="U13"/>
      <c r="V13"/>
      <c r="W13"/>
      <c r="X13"/>
      <c r="Y13"/>
      <c r="Z13"/>
    </row>
    <row r="14" spans="1:26" x14ac:dyDescent="0.45">
      <c r="F14" s="1" t="s">
        <v>329</v>
      </c>
      <c r="G14" s="1" t="s">
        <v>330</v>
      </c>
      <c r="H14" s="7">
        <f>SUM(H2:H13)</f>
        <v>194037</v>
      </c>
      <c r="I14" s="7">
        <f t="shared" ref="I14:P14" si="5">SUM(I2:I13)</f>
        <v>287209</v>
      </c>
      <c r="J14" s="7">
        <f t="shared" si="5"/>
        <v>311054</v>
      </c>
      <c r="K14" s="7">
        <f t="shared" si="5"/>
        <v>555379.29999999993</v>
      </c>
      <c r="L14" s="7">
        <f t="shared" si="5"/>
        <v>555379.29999999993</v>
      </c>
      <c r="M14" s="7">
        <f t="shared" si="5"/>
        <v>550610.29999999993</v>
      </c>
      <c r="N14" s="7">
        <f t="shared" si="5"/>
        <v>550610.29999999993</v>
      </c>
      <c r="O14" s="7">
        <f t="shared" si="5"/>
        <v>1105989.5999999999</v>
      </c>
      <c r="P14" s="7">
        <f t="shared" si="5"/>
        <v>1105989.5999999999</v>
      </c>
      <c r="Q14"/>
      <c r="R14"/>
      <c r="S14"/>
      <c r="T14"/>
      <c r="U14"/>
      <c r="V14"/>
      <c r="W14"/>
      <c r="X14"/>
      <c r="Y14"/>
      <c r="Z14"/>
    </row>
    <row r="15" spans="1:26" x14ac:dyDescent="0.45">
      <c r="Q15"/>
      <c r="R15"/>
      <c r="S15"/>
      <c r="T15"/>
      <c r="U15"/>
      <c r="V15"/>
      <c r="W15"/>
      <c r="X15"/>
      <c r="Y15"/>
      <c r="Z15"/>
    </row>
    <row r="16" spans="1:26" x14ac:dyDescent="0.45">
      <c r="F16"/>
      <c r="G16"/>
      <c r="H16"/>
      <c r="I16"/>
      <c r="J16"/>
      <c r="K16"/>
      <c r="L16"/>
      <c r="M16"/>
      <c r="N16"/>
      <c r="O16"/>
      <c r="P16"/>
      <c r="Q16"/>
      <c r="R16"/>
      <c r="S16"/>
      <c r="T16"/>
      <c r="U16"/>
      <c r="V16"/>
      <c r="W16"/>
      <c r="X16"/>
      <c r="Y16"/>
      <c r="Z16"/>
    </row>
    <row r="17" spans="1:26" ht="14.55" customHeight="1" x14ac:dyDescent="0.45">
      <c r="F17"/>
      <c r="G17"/>
      <c r="H17"/>
      <c r="I17"/>
      <c r="J17"/>
      <c r="K17"/>
      <c r="L17"/>
      <c r="M17"/>
      <c r="N17"/>
      <c r="O17"/>
      <c r="P17"/>
      <c r="Q17"/>
      <c r="R17"/>
      <c r="S17"/>
      <c r="T17"/>
      <c r="U17"/>
      <c r="V17"/>
      <c r="W17"/>
      <c r="X17"/>
      <c r="Y17"/>
      <c r="Z17"/>
    </row>
    <row r="18" spans="1:26" x14ac:dyDescent="0.45">
      <c r="F18"/>
      <c r="G18"/>
      <c r="H18"/>
      <c r="I18"/>
      <c r="J18"/>
      <c r="K18"/>
      <c r="L18"/>
      <c r="M18"/>
      <c r="N18"/>
      <c r="O18"/>
      <c r="P18"/>
      <c r="R18"/>
      <c r="S18"/>
      <c r="T18"/>
      <c r="U18"/>
      <c r="V18"/>
      <c r="W18"/>
      <c r="X18"/>
      <c r="Y18"/>
      <c r="Z18"/>
    </row>
    <row r="19" spans="1:26" x14ac:dyDescent="0.45">
      <c r="F19"/>
      <c r="G19"/>
      <c r="H19"/>
      <c r="I19"/>
      <c r="J19"/>
      <c r="K19"/>
      <c r="L19"/>
      <c r="M19"/>
      <c r="N19"/>
      <c r="O19"/>
      <c r="P19"/>
      <c r="R19"/>
      <c r="S19"/>
      <c r="T19"/>
      <c r="U19"/>
      <c r="V19"/>
      <c r="W19"/>
      <c r="X19"/>
      <c r="Y19"/>
      <c r="Z19"/>
    </row>
    <row r="20" spans="1:26" x14ac:dyDescent="0.45">
      <c r="F20"/>
      <c r="G20"/>
      <c r="H20"/>
      <c r="I20"/>
      <c r="J20"/>
      <c r="K20"/>
      <c r="L20"/>
      <c r="M20"/>
      <c r="N20"/>
      <c r="O20"/>
      <c r="P20"/>
      <c r="R20"/>
      <c r="S20"/>
      <c r="T20"/>
      <c r="U20"/>
      <c r="V20"/>
      <c r="W20"/>
      <c r="X20"/>
      <c r="Y20"/>
      <c r="Z20"/>
    </row>
    <row r="21" spans="1:26" x14ac:dyDescent="0.45">
      <c r="F21"/>
      <c r="G21"/>
      <c r="H21"/>
      <c r="I21"/>
      <c r="J21"/>
      <c r="K21"/>
      <c r="L21"/>
      <c r="M21"/>
      <c r="N21"/>
      <c r="O21"/>
      <c r="P21"/>
    </row>
    <row r="22" spans="1:26" x14ac:dyDescent="0.45">
      <c r="F22"/>
      <c r="G22"/>
      <c r="H22"/>
      <c r="I22"/>
      <c r="J22"/>
      <c r="K22"/>
      <c r="L22"/>
      <c r="M22"/>
      <c r="N22"/>
      <c r="O22"/>
      <c r="P22"/>
    </row>
    <row r="23" spans="1:26" x14ac:dyDescent="0.45">
      <c r="A23" s="26" t="s">
        <v>331</v>
      </c>
      <c r="B23" s="26"/>
      <c r="C23" s="26"/>
      <c r="D23" s="26"/>
      <c r="F23"/>
      <c r="G23"/>
      <c r="H23"/>
      <c r="I23"/>
      <c r="J23"/>
      <c r="K23"/>
      <c r="L23"/>
      <c r="M23"/>
      <c r="N23"/>
      <c r="O23"/>
      <c r="P23"/>
    </row>
    <row r="24" spans="1:26" x14ac:dyDescent="0.45">
      <c r="A24" s="26"/>
      <c r="B24" s="26"/>
      <c r="C24" s="26"/>
      <c r="D24" s="26"/>
      <c r="F24"/>
      <c r="G24"/>
      <c r="H24"/>
      <c r="I24"/>
      <c r="J24"/>
      <c r="K24"/>
      <c r="L24"/>
      <c r="M24"/>
      <c r="N24"/>
      <c r="O24"/>
      <c r="P24"/>
    </row>
    <row r="25" spans="1:26" x14ac:dyDescent="0.45">
      <c r="A25" s="26"/>
      <c r="B25" s="26"/>
      <c r="C25" s="26"/>
      <c r="D25" s="26"/>
      <c r="F25"/>
      <c r="G25"/>
      <c r="H25"/>
      <c r="I25"/>
      <c r="J25"/>
      <c r="K25"/>
      <c r="L25"/>
      <c r="M25"/>
      <c r="N25"/>
      <c r="O25"/>
      <c r="P25"/>
    </row>
    <row r="26" spans="1:26" x14ac:dyDescent="0.45">
      <c r="A26" s="26"/>
      <c r="B26" s="26"/>
      <c r="C26" s="26"/>
      <c r="D26" s="26"/>
      <c r="F26"/>
      <c r="G26"/>
      <c r="H26"/>
      <c r="I26"/>
      <c r="J26"/>
      <c r="K26"/>
      <c r="L26"/>
      <c r="M26"/>
      <c r="N26"/>
      <c r="O26"/>
      <c r="P26"/>
    </row>
    <row r="27" spans="1:26" x14ac:dyDescent="0.45">
      <c r="F27"/>
      <c r="G27"/>
      <c r="H27"/>
      <c r="I27"/>
      <c r="J27"/>
      <c r="K27"/>
      <c r="L27"/>
      <c r="M27"/>
      <c r="N27"/>
      <c r="O27"/>
      <c r="P27"/>
    </row>
    <row r="28" spans="1:26" x14ac:dyDescent="0.45">
      <c r="F28"/>
      <c r="G28"/>
      <c r="H28"/>
      <c r="I28"/>
      <c r="J28"/>
      <c r="K28"/>
      <c r="L28"/>
      <c r="M28"/>
      <c r="N28"/>
      <c r="O28"/>
      <c r="P28"/>
    </row>
    <row r="29" spans="1:26" x14ac:dyDescent="0.45">
      <c r="F29"/>
      <c r="G29"/>
      <c r="H29"/>
      <c r="I29"/>
      <c r="J29"/>
      <c r="K29"/>
      <c r="L29"/>
      <c r="M29"/>
      <c r="N29"/>
      <c r="O29"/>
      <c r="P29"/>
    </row>
  </sheetData>
  <mergeCells count="1">
    <mergeCell ref="A23:D2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SClearPro">
                <anchor moveWithCells="1" sizeWithCells="1">
                  <from>
                    <xdr:col>0</xdr:col>
                    <xdr:colOff>0</xdr:colOff>
                    <xdr:row>14</xdr:row>
                    <xdr:rowOff>14288</xdr:rowOff>
                  </from>
                  <to>
                    <xdr:col>4</xdr:col>
                    <xdr:colOff>0</xdr:colOff>
                    <xdr:row>16</xdr:row>
                    <xdr:rowOff>171450</xdr:rowOff>
                  </to>
                </anchor>
              </controlPr>
            </control>
          </mc:Choice>
        </mc:AlternateContent>
        <mc:AlternateContent xmlns:mc="http://schemas.openxmlformats.org/markup-compatibility/2006">
          <mc:Choice Requires="x14">
            <control shapeId="3074" r:id="rId4" name="Button 2">
              <controlPr defaultSize="0" print="0" autoFill="0" autoPict="0" macro="[0]!SRandomPro">
                <anchor moveWithCells="1" sizeWithCells="1">
                  <from>
                    <xdr:col>0</xdr:col>
                    <xdr:colOff>0</xdr:colOff>
                    <xdr:row>18</xdr:row>
                    <xdr:rowOff>14288</xdr:rowOff>
                  </from>
                  <to>
                    <xdr:col>4</xdr:col>
                    <xdr:colOff>0</xdr:colOff>
                    <xdr:row>20</xdr:row>
                    <xdr:rowOff>166688</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059D1-BA57-4D16-92B0-9AE4ECCD39F9}">
  <sheetPr codeName="Dist"/>
  <dimension ref="A1:AN130"/>
  <sheetViews>
    <sheetView zoomScale="55" zoomScaleNormal="55" workbookViewId="0">
      <selection activeCell="U23" sqref="U23"/>
    </sheetView>
  </sheetViews>
  <sheetFormatPr defaultColWidth="8.73046875" defaultRowHeight="14.25" x14ac:dyDescent="0.45"/>
  <cols>
    <col min="1" max="2" width="10.33203125" style="1" bestFit="1" customWidth="1"/>
    <col min="3" max="3" width="6.9296875" style="1" bestFit="1" customWidth="1"/>
    <col min="4" max="4" width="5.73046875" style="1" bestFit="1" customWidth="1"/>
    <col min="5" max="5" width="8.73046875" style="1"/>
    <col min="6" max="6" width="10.33203125" style="1" bestFit="1" customWidth="1"/>
    <col min="7" max="7" width="8" style="1" bestFit="1" customWidth="1"/>
    <col min="8" max="9" width="9" style="1" bestFit="1" customWidth="1"/>
    <col min="10" max="10" width="7" style="1" bestFit="1" customWidth="1"/>
    <col min="11" max="11" width="8" style="1" bestFit="1" customWidth="1"/>
    <col min="12" max="13" width="7" style="1" bestFit="1" customWidth="1"/>
    <col min="14" max="18" width="8" style="1" bestFit="1" customWidth="1"/>
    <col min="19" max="19" width="10.06640625" style="1" bestFit="1" customWidth="1"/>
    <col min="20" max="20" width="7.19921875" style="1" bestFit="1" customWidth="1"/>
    <col min="21" max="21" width="4.73046875" style="1" bestFit="1" customWidth="1"/>
    <col min="22" max="22" width="9" style="1" bestFit="1" customWidth="1"/>
    <col min="23" max="23" width="9.9296875" style="1" customWidth="1"/>
    <col min="24" max="24" width="10.33203125" style="1" bestFit="1" customWidth="1"/>
    <col min="25" max="25" width="8" style="1" bestFit="1" customWidth="1"/>
    <col min="26" max="27" width="9" style="1" bestFit="1" customWidth="1"/>
    <col min="28" max="28" width="7" style="1" bestFit="1" customWidth="1"/>
    <col min="29" max="29" width="8" style="1" bestFit="1" customWidth="1"/>
    <col min="30" max="31" width="7" style="1" bestFit="1" customWidth="1"/>
    <col min="32" max="36" width="8" style="1" bestFit="1" customWidth="1"/>
    <col min="37" max="37" width="10.06640625" style="1" bestFit="1" customWidth="1"/>
    <col min="38" max="38" width="7.19921875" style="1" bestFit="1" customWidth="1"/>
    <col min="39" max="39" width="4.73046875" style="1" bestFit="1" customWidth="1"/>
    <col min="40" max="40" width="8" style="1" bestFit="1" customWidth="1"/>
    <col min="41" max="16384" width="8.73046875" style="1"/>
  </cols>
  <sheetData>
    <row r="1" spans="1:40" x14ac:dyDescent="0.45">
      <c r="A1" s="4" t="s">
        <v>295</v>
      </c>
      <c r="B1" s="4" t="s">
        <v>296</v>
      </c>
      <c r="C1" s="4" t="s">
        <v>297</v>
      </c>
      <c r="D1" s="4" t="s">
        <v>298</v>
      </c>
      <c r="F1" s="4" t="s">
        <v>105</v>
      </c>
      <c r="G1" s="3">
        <f>NetNum!T2</f>
        <v>9</v>
      </c>
      <c r="H1" s="3">
        <f>NetNum!T3</f>
        <v>12</v>
      </c>
      <c r="I1" s="3">
        <f>NetNum!T4</f>
        <v>29</v>
      </c>
      <c r="J1" s="3">
        <f>NetNum!T5</f>
        <v>24</v>
      </c>
      <c r="K1" s="3">
        <f>NetNum!T6</f>
        <v>21</v>
      </c>
      <c r="L1" s="3">
        <f>NetNum!T7</f>
        <v>42</v>
      </c>
      <c r="M1" s="3">
        <f>NetNum!T8</f>
        <v>43</v>
      </c>
      <c r="N1" s="3">
        <f>NetNum!T9</f>
        <v>31</v>
      </c>
      <c r="O1" s="3">
        <f>NetNum!T10</f>
        <v>33</v>
      </c>
      <c r="P1" s="3">
        <f>NetNum!T11</f>
        <v>30</v>
      </c>
      <c r="Q1" s="3">
        <f>NetNum!T12</f>
        <v>18</v>
      </c>
      <c r="R1" s="3">
        <f>NetNum!T13</f>
        <v>40</v>
      </c>
      <c r="S1" s="4" t="s">
        <v>115</v>
      </c>
      <c r="T1" s="4" t="s">
        <v>117</v>
      </c>
      <c r="U1" s="4" t="s">
        <v>119</v>
      </c>
      <c r="V1" s="4" t="s">
        <v>121</v>
      </c>
      <c r="X1" s="4" t="s">
        <v>123</v>
      </c>
      <c r="Y1" s="3">
        <f>NetNum!T2</f>
        <v>9</v>
      </c>
      <c r="Z1" s="3">
        <f>NetNum!T3</f>
        <v>12</v>
      </c>
      <c r="AA1" s="3">
        <f>NetNum!T4</f>
        <v>29</v>
      </c>
      <c r="AB1" s="3">
        <f>NetNum!T5</f>
        <v>24</v>
      </c>
      <c r="AC1" s="3">
        <f>NetNum!T6</f>
        <v>21</v>
      </c>
      <c r="AD1" s="3">
        <f>NetNum!T7</f>
        <v>42</v>
      </c>
      <c r="AE1" s="3">
        <f>NetNum!T8</f>
        <v>43</v>
      </c>
      <c r="AF1" s="3">
        <f>NetNum!T9</f>
        <v>31</v>
      </c>
      <c r="AG1" s="3">
        <f>NetNum!T10</f>
        <v>33</v>
      </c>
      <c r="AH1" s="3">
        <f>NetNum!T11</f>
        <v>30</v>
      </c>
      <c r="AI1" s="3">
        <f>NetNum!T12</f>
        <v>18</v>
      </c>
      <c r="AJ1" s="3">
        <f>NetNum!T13</f>
        <v>40</v>
      </c>
      <c r="AK1" s="4" t="s">
        <v>133</v>
      </c>
      <c r="AL1" s="4" t="s">
        <v>135</v>
      </c>
      <c r="AM1" s="4" t="s">
        <v>137</v>
      </c>
      <c r="AN1" s="4" t="s">
        <v>139</v>
      </c>
    </row>
    <row r="2" spans="1:40" x14ac:dyDescent="0.45">
      <c r="A2" s="5" t="s">
        <v>105</v>
      </c>
      <c r="B2" s="1" t="s">
        <v>17</v>
      </c>
      <c r="C2" s="1" t="s">
        <v>299</v>
      </c>
      <c r="F2" s="3">
        <f>NetNum!T2</f>
        <v>9</v>
      </c>
      <c r="G2" s="9">
        <f>IFERROR($U2*$V2*G$16*G$17*((G20^(-1*$D$22))*EXP((-1*$D$23)*G20)),0)</f>
        <v>0</v>
      </c>
      <c r="H2" s="9">
        <f t="shared" ref="H2:R2" si="0">IFERROR($U2*$V2*H$16*H$17*((H20^(-1*$D$22))*EXP((-1*$D$23)*H20)),0)</f>
        <v>3885.1267537538865</v>
      </c>
      <c r="I2" s="9">
        <f t="shared" si="0"/>
        <v>4161.4698700427307</v>
      </c>
      <c r="J2" s="9">
        <f t="shared" si="0"/>
        <v>1663.7002200826605</v>
      </c>
      <c r="K2" s="9">
        <f t="shared" si="0"/>
        <v>2621.0764416158177</v>
      </c>
      <c r="L2" s="9">
        <f t="shared" si="0"/>
        <v>1237.1338046589401</v>
      </c>
      <c r="M2" s="9">
        <f t="shared" si="0"/>
        <v>5353.2960624341922</v>
      </c>
      <c r="N2" s="9">
        <f t="shared" si="0"/>
        <v>2403.4069952530522</v>
      </c>
      <c r="O2" s="9">
        <f t="shared" si="0"/>
        <v>3294.6224907733908</v>
      </c>
      <c r="P2" s="9">
        <f t="shared" si="0"/>
        <v>2220.5937406875501</v>
      </c>
      <c r="Q2" s="9">
        <f t="shared" si="0"/>
        <v>2644.9849149393244</v>
      </c>
      <c r="R2" s="9">
        <f t="shared" si="0"/>
        <v>2463.6869371690159</v>
      </c>
      <c r="S2" s="9">
        <f>SUM(G2:R2)</f>
        <v>31949.09823141056</v>
      </c>
      <c r="T2" s="10">
        <f>IFERROR(V2/S2,0)</f>
        <v>0.99970583734969631</v>
      </c>
      <c r="U2" s="11">
        <v>5.2516486388064392E-6</v>
      </c>
      <c r="V2" s="9">
        <f>Pro!K2</f>
        <v>31939.699999999997</v>
      </c>
      <c r="X2" s="3">
        <f>NetNum!T2</f>
        <v>9</v>
      </c>
      <c r="Y2" s="9">
        <f>IFERROR($AM2*$AN2*Y$16*Y$17*((Y20^(-1*$D$24))*EXP((-1*$D$25)*Y20)),0)</f>
        <v>0</v>
      </c>
      <c r="Z2" s="9">
        <f t="shared" ref="Z2:AJ2" si="1">IFERROR($AM2*$AN2*Z$16*Z$17*((Z20^(-1*$D$24))*EXP((-1*$D$25)*Z20)),0)</f>
        <v>4363.0726791819106</v>
      </c>
      <c r="AA2" s="9">
        <f t="shared" si="1"/>
        <v>4523.6809965512466</v>
      </c>
      <c r="AB2" s="9">
        <f t="shared" si="1"/>
        <v>1400.1725796902022</v>
      </c>
      <c r="AC2" s="9">
        <f t="shared" si="1"/>
        <v>3019.3797561900801</v>
      </c>
      <c r="AD2" s="9">
        <f t="shared" si="1"/>
        <v>969.3643579064011</v>
      </c>
      <c r="AE2" s="9">
        <f t="shared" si="1"/>
        <v>5407.1291444337103</v>
      </c>
      <c r="AF2" s="9">
        <f t="shared" si="1"/>
        <v>2352.036572636538</v>
      </c>
      <c r="AG2" s="9">
        <f t="shared" si="1"/>
        <v>3775.5123461718954</v>
      </c>
      <c r="AH2" s="9">
        <f t="shared" si="1"/>
        <v>1844.3763083074716</v>
      </c>
      <c r="AI2" s="9">
        <f t="shared" si="1"/>
        <v>2608.8952754420329</v>
      </c>
      <c r="AJ2" s="9">
        <f t="shared" si="1"/>
        <v>2242.2008169814108</v>
      </c>
      <c r="AK2" s="9">
        <f>SUM(Y2:AJ2)</f>
        <v>32505.820833492897</v>
      </c>
      <c r="AL2" s="10">
        <f>IFERROR(AN2/AK2,0)</f>
        <v>1.0003223781537707</v>
      </c>
      <c r="AM2" s="11">
        <v>9.0955928602560137E-6</v>
      </c>
      <c r="AN2" s="9">
        <f>Pro!M2</f>
        <v>32516.3</v>
      </c>
    </row>
    <row r="3" spans="1:40" x14ac:dyDescent="0.45">
      <c r="A3" s="5" t="s">
        <v>107</v>
      </c>
      <c r="B3" s="1" t="s">
        <v>17</v>
      </c>
      <c r="C3" s="1" t="s">
        <v>300</v>
      </c>
      <c r="F3" s="3">
        <f>NetNum!T3</f>
        <v>12</v>
      </c>
      <c r="G3" s="9">
        <f t="shared" ref="G3:R13" si="2">IFERROR($U3*$V3*G$16*G$17*((G21^(-1*$D$22))*EXP((-1*$D$23)*G21)),0)</f>
        <v>3875.3191825542299</v>
      </c>
      <c r="H3" s="9">
        <f t="shared" si="2"/>
        <v>0</v>
      </c>
      <c r="I3" s="9">
        <f t="shared" si="2"/>
        <v>2513.7954353506539</v>
      </c>
      <c r="J3" s="9">
        <f t="shared" si="2"/>
        <v>6742.8328003694005</v>
      </c>
      <c r="K3" s="9">
        <f t="shared" si="2"/>
        <v>3138.4490839955097</v>
      </c>
      <c r="L3" s="9">
        <f t="shared" si="2"/>
        <v>2324.0966850053965</v>
      </c>
      <c r="M3" s="9">
        <f t="shared" si="2"/>
        <v>11812.597793045601</v>
      </c>
      <c r="N3" s="9">
        <f t="shared" si="2"/>
        <v>3397.8501187261922</v>
      </c>
      <c r="O3" s="9">
        <f t="shared" si="2"/>
        <v>2813.475432042555</v>
      </c>
      <c r="P3" s="9">
        <f t="shared" si="2"/>
        <v>5174.1439287124394</v>
      </c>
      <c r="Q3" s="9">
        <f t="shared" si="2"/>
        <v>5836.4309771883172</v>
      </c>
      <c r="R3" s="9">
        <f t="shared" si="2"/>
        <v>6079.3112016950272</v>
      </c>
      <c r="S3" s="9">
        <f t="shared" ref="S3:S14" si="3">SUM(G3:R3)</f>
        <v>53708.302638685323</v>
      </c>
      <c r="T3" s="10">
        <f t="shared" ref="T3:T13" si="4">IFERROR(V3/S3,0)</f>
        <v>1.0040887041765587</v>
      </c>
      <c r="U3" s="11">
        <v>6.8633657022816974E-6</v>
      </c>
      <c r="V3" s="9">
        <f>Pro!K3</f>
        <v>53927.899999999994</v>
      </c>
      <c r="X3" s="3">
        <f>NetNum!T3</f>
        <v>12</v>
      </c>
      <c r="Y3" s="9">
        <f t="shared" ref="Y3:AJ13" si="5">IFERROR($AM3*$AN3*Y$16*Y$17*((Y21^(-1*$D$24))*EXP((-1*$D$25)*Y21)),0)</f>
        <v>4367.3138309560418</v>
      </c>
      <c r="Z3" s="9">
        <f t="shared" si="5"/>
        <v>0</v>
      </c>
      <c r="AA3" s="9">
        <f t="shared" si="5"/>
        <v>1633.5601353555589</v>
      </c>
      <c r="AB3" s="9">
        <f t="shared" si="5"/>
        <v>8207.532817050409</v>
      </c>
      <c r="AC3" s="9">
        <f t="shared" si="5"/>
        <v>2988.9546368759138</v>
      </c>
      <c r="AD3" s="9">
        <f t="shared" si="5"/>
        <v>1858.0705074687758</v>
      </c>
      <c r="AE3" s="9">
        <f t="shared" si="5"/>
        <v>13068.587688702604</v>
      </c>
      <c r="AF3" s="9">
        <f t="shared" si="5"/>
        <v>2966.4849229999381</v>
      </c>
      <c r="AG3" s="9">
        <f t="shared" si="5"/>
        <v>2275.9075803259475</v>
      </c>
      <c r="AH3" s="9">
        <f t="shared" si="5"/>
        <v>4823.6200703551531</v>
      </c>
      <c r="AI3" s="9">
        <f t="shared" si="5"/>
        <v>6305.4859181335278</v>
      </c>
      <c r="AJ3" s="9">
        <f t="shared" si="5"/>
        <v>6382.1668270510791</v>
      </c>
      <c r="AK3" s="9">
        <f t="shared" ref="AK3:AK14" si="6">SUM(Y3:AJ3)</f>
        <v>54877.684935274949</v>
      </c>
      <c r="AL3" s="10">
        <f t="shared" ref="AL3:AL13" si="7">IFERROR(AN3/AK3,0)</f>
        <v>0.99926409185586862</v>
      </c>
      <c r="AM3" s="11">
        <v>1.3035208561712811E-5</v>
      </c>
      <c r="AN3" s="9">
        <f>Pro!M3</f>
        <v>54837.3</v>
      </c>
    </row>
    <row r="4" spans="1:40" x14ac:dyDescent="0.45">
      <c r="A4" s="5" t="s">
        <v>109</v>
      </c>
      <c r="B4" s="1" t="s">
        <v>17</v>
      </c>
      <c r="C4" s="1" t="s">
        <v>301</v>
      </c>
      <c r="F4" s="3">
        <f>NetNum!T4</f>
        <v>29</v>
      </c>
      <c r="G4" s="9">
        <f t="shared" si="2"/>
        <v>4159.3120631890488</v>
      </c>
      <c r="H4" s="9">
        <f t="shared" si="2"/>
        <v>2518.8505398060993</v>
      </c>
      <c r="I4" s="9">
        <f t="shared" si="2"/>
        <v>0</v>
      </c>
      <c r="J4" s="9">
        <f t="shared" si="2"/>
        <v>3036.9886346772573</v>
      </c>
      <c r="K4" s="9">
        <f t="shared" si="2"/>
        <v>2328.2937417051476</v>
      </c>
      <c r="L4" s="9">
        <f t="shared" si="2"/>
        <v>5413.7330454886951</v>
      </c>
      <c r="M4" s="9">
        <f t="shared" si="2"/>
        <v>6638.6610359876759</v>
      </c>
      <c r="N4" s="9">
        <f t="shared" si="2"/>
        <v>5808.702200154883</v>
      </c>
      <c r="O4" s="9">
        <f t="shared" si="2"/>
        <v>6303.5579489808915</v>
      </c>
      <c r="P4" s="9">
        <f t="shared" si="2"/>
        <v>6055.9570493907277</v>
      </c>
      <c r="Q4" s="9">
        <f t="shared" si="2"/>
        <v>6035.8966906704709</v>
      </c>
      <c r="R4" s="9">
        <f t="shared" si="2"/>
        <v>2213.100389418285</v>
      </c>
      <c r="S4" s="9">
        <f t="shared" si="3"/>
        <v>50513.053339469188</v>
      </c>
      <c r="T4" s="10">
        <f t="shared" si="4"/>
        <v>0.9987794572809755</v>
      </c>
      <c r="U4" s="11">
        <v>4.6222852510691591E-6</v>
      </c>
      <c r="V4" s="9">
        <f>Pro!K4</f>
        <v>50451.4</v>
      </c>
      <c r="X4" s="3">
        <f>NetNum!T4</f>
        <v>29</v>
      </c>
      <c r="Y4" s="9">
        <f t="shared" si="5"/>
        <v>4528.0903484610963</v>
      </c>
      <c r="Z4" s="9">
        <f t="shared" si="5"/>
        <v>1633.5644933025649</v>
      </c>
      <c r="AA4" s="9">
        <f t="shared" si="5"/>
        <v>0</v>
      </c>
      <c r="AB4" s="9">
        <f t="shared" si="5"/>
        <v>2350.2784799625597</v>
      </c>
      <c r="AC4" s="9">
        <f t="shared" si="5"/>
        <v>1772.5982857672902</v>
      </c>
      <c r="AD4" s="9">
        <f t="shared" si="5"/>
        <v>5962.33571679343</v>
      </c>
      <c r="AE4" s="9">
        <f t="shared" si="5"/>
        <v>5167.5967687505972</v>
      </c>
      <c r="AF4" s="9">
        <f t="shared" si="5"/>
        <v>6138.0989422727453</v>
      </c>
      <c r="AG4" s="9">
        <f t="shared" si="5"/>
        <v>6962.058159451647</v>
      </c>
      <c r="AH4" s="9">
        <f t="shared" si="5"/>
        <v>5601.1424028452475</v>
      </c>
      <c r="AI4" s="9">
        <f t="shared" si="5"/>
        <v>6254.7349403432827</v>
      </c>
      <c r="AJ4" s="9">
        <f t="shared" si="5"/>
        <v>1346.1148410540006</v>
      </c>
      <c r="AK4" s="9">
        <f t="shared" si="6"/>
        <v>47716.613379004455</v>
      </c>
      <c r="AL4" s="10">
        <f t="shared" si="7"/>
        <v>0.99887642112027919</v>
      </c>
      <c r="AM4" s="11">
        <v>7.0194558051996355E-6</v>
      </c>
      <c r="AN4" s="9">
        <f>Pro!M4</f>
        <v>47663</v>
      </c>
    </row>
    <row r="5" spans="1:40" x14ac:dyDescent="0.45">
      <c r="A5" s="5" t="s">
        <v>111</v>
      </c>
      <c r="B5" s="1" t="s">
        <v>17</v>
      </c>
      <c r="C5" s="1" t="s">
        <v>302</v>
      </c>
      <c r="F5" s="3">
        <f>NetNum!T5</f>
        <v>24</v>
      </c>
      <c r="G5" s="9">
        <f t="shared" si="2"/>
        <v>1696.5605000652154</v>
      </c>
      <c r="H5" s="9">
        <f t="shared" si="2"/>
        <v>6893.4143263883725</v>
      </c>
      <c r="I5" s="9">
        <f t="shared" si="2"/>
        <v>3098.5798540862138</v>
      </c>
      <c r="J5" s="9">
        <f t="shared" si="2"/>
        <v>0</v>
      </c>
      <c r="K5" s="9">
        <f t="shared" si="2"/>
        <v>4400.1873568561105</v>
      </c>
      <c r="L5" s="9">
        <f t="shared" si="2"/>
        <v>2183.3475848932894</v>
      </c>
      <c r="M5" s="9">
        <f t="shared" si="2"/>
        <v>7564.4537315331481</v>
      </c>
      <c r="N5" s="9">
        <f t="shared" si="2"/>
        <v>3039.8665931065038</v>
      </c>
      <c r="O5" s="9">
        <f t="shared" si="2"/>
        <v>3298.8393218552387</v>
      </c>
      <c r="P5" s="9">
        <f t="shared" si="2"/>
        <v>4894.2471259944641</v>
      </c>
      <c r="Q5" s="9">
        <f t="shared" si="2"/>
        <v>1647.2353234072973</v>
      </c>
      <c r="R5" s="9">
        <f t="shared" si="2"/>
        <v>2809.3370690193283</v>
      </c>
      <c r="S5" s="9">
        <f t="shared" si="3"/>
        <v>41526.068787205179</v>
      </c>
      <c r="T5" s="10">
        <f t="shared" si="4"/>
        <v>0.97993624700005566</v>
      </c>
      <c r="U5" s="11">
        <v>6.5299281175951908E-6</v>
      </c>
      <c r="V5" s="9">
        <f>Pro!K5</f>
        <v>40692.899999999994</v>
      </c>
      <c r="X5" s="3">
        <f>NetNum!T5</f>
        <v>24</v>
      </c>
      <c r="Y5" s="9">
        <f t="shared" si="5"/>
        <v>1402.7230881701059</v>
      </c>
      <c r="Z5" s="9">
        <f t="shared" si="5"/>
        <v>8214.4984358307556</v>
      </c>
      <c r="AA5" s="9">
        <f t="shared" si="5"/>
        <v>2352.2668532875182</v>
      </c>
      <c r="AB5" s="9">
        <f t="shared" si="5"/>
        <v>0</v>
      </c>
      <c r="AC5" s="9">
        <f t="shared" si="5"/>
        <v>5243.9647160101376</v>
      </c>
      <c r="AD5" s="9">
        <f t="shared" si="5"/>
        <v>1805.6338299366244</v>
      </c>
      <c r="AE5" s="9">
        <f t="shared" si="5"/>
        <v>7279.8917340862909</v>
      </c>
      <c r="AF5" s="9">
        <f t="shared" si="5"/>
        <v>2694.0255397995488</v>
      </c>
      <c r="AG5" s="9">
        <f t="shared" si="5"/>
        <v>3055.6631079960785</v>
      </c>
      <c r="AH5" s="9">
        <f t="shared" si="5"/>
        <v>4752.2358605618947</v>
      </c>
      <c r="AI5" s="9">
        <f t="shared" si="5"/>
        <v>1070.0390307272692</v>
      </c>
      <c r="AJ5" s="9">
        <f t="shared" si="5"/>
        <v>2216.5220892077032</v>
      </c>
      <c r="AK5" s="9">
        <f t="shared" si="6"/>
        <v>40087.464285613925</v>
      </c>
      <c r="AL5" s="10">
        <f t="shared" si="7"/>
        <v>0.99842433821296628</v>
      </c>
      <c r="AM5" s="11">
        <v>1.1775988576202461E-5</v>
      </c>
      <c r="AN5" s="9">
        <f>Pro!M5</f>
        <v>40024.300000000003</v>
      </c>
    </row>
    <row r="6" spans="1:40" x14ac:dyDescent="0.45">
      <c r="A6" s="5" t="s">
        <v>113</v>
      </c>
      <c r="B6" s="1" t="s">
        <v>17</v>
      </c>
      <c r="C6" s="1" t="s">
        <v>303</v>
      </c>
      <c r="F6" s="3">
        <f>NetNum!T6</f>
        <v>21</v>
      </c>
      <c r="G6" s="9">
        <f t="shared" si="2"/>
        <v>2709.71618942541</v>
      </c>
      <c r="H6" s="9">
        <f t="shared" si="2"/>
        <v>3252.796700459749</v>
      </c>
      <c r="I6" s="9">
        <f t="shared" si="2"/>
        <v>2408.2808862080419</v>
      </c>
      <c r="J6" s="9">
        <f t="shared" si="2"/>
        <v>4460.8848270642939</v>
      </c>
      <c r="K6" s="9">
        <f t="shared" si="2"/>
        <v>0</v>
      </c>
      <c r="L6" s="9">
        <f t="shared" si="2"/>
        <v>3500.9077627821898</v>
      </c>
      <c r="M6" s="9">
        <f t="shared" si="2"/>
        <v>8823.2562060837863</v>
      </c>
      <c r="N6" s="9">
        <f t="shared" si="2"/>
        <v>1612.6671799667822</v>
      </c>
      <c r="O6" s="9">
        <f t="shared" si="2"/>
        <v>2425.1246463005882</v>
      </c>
      <c r="P6" s="9">
        <f t="shared" si="2"/>
        <v>8275.3920007422221</v>
      </c>
      <c r="Q6" s="9">
        <f t="shared" si="2"/>
        <v>1352.4890157099601</v>
      </c>
      <c r="R6" s="9">
        <f t="shared" si="2"/>
        <v>1962.1062677830455</v>
      </c>
      <c r="S6" s="9">
        <f t="shared" si="3"/>
        <v>40783.621682526071</v>
      </c>
      <c r="T6" s="10">
        <f t="shared" si="4"/>
        <v>0.96514233842221098</v>
      </c>
      <c r="U6" s="11">
        <v>5.5427843822494148E-6</v>
      </c>
      <c r="V6" s="9">
        <f>Pro!K6</f>
        <v>39362</v>
      </c>
      <c r="X6" s="3">
        <f>NetNum!T6</f>
        <v>21</v>
      </c>
      <c r="Y6" s="9">
        <f t="shared" si="5"/>
        <v>3030.3241540086588</v>
      </c>
      <c r="Z6" s="9">
        <f t="shared" si="5"/>
        <v>2996.8756207638953</v>
      </c>
      <c r="AA6" s="9">
        <f t="shared" si="5"/>
        <v>1777.2910805318986</v>
      </c>
      <c r="AB6" s="9">
        <f t="shared" si="5"/>
        <v>5253.4031782097045</v>
      </c>
      <c r="AC6" s="9">
        <f t="shared" si="5"/>
        <v>0</v>
      </c>
      <c r="AD6" s="9">
        <f t="shared" si="5"/>
        <v>3931.4566654843625</v>
      </c>
      <c r="AE6" s="9">
        <f t="shared" si="5"/>
        <v>10041.735988966384</v>
      </c>
      <c r="AF6" s="9">
        <f t="shared" si="5"/>
        <v>1169.9493924934454</v>
      </c>
      <c r="AG6" s="9">
        <f t="shared" si="5"/>
        <v>2128.4487201665088</v>
      </c>
      <c r="AH6" s="9">
        <f t="shared" si="5"/>
        <v>11505.661200384711</v>
      </c>
      <c r="AI6" s="9">
        <f t="shared" si="5"/>
        <v>875.60869464768621</v>
      </c>
      <c r="AJ6" s="9">
        <f t="shared" si="5"/>
        <v>1435.9858621126293</v>
      </c>
      <c r="AK6" s="9">
        <f t="shared" si="6"/>
        <v>44146.740557769881</v>
      </c>
      <c r="AL6" s="10">
        <f t="shared" si="7"/>
        <v>0.99592403526293383</v>
      </c>
      <c r="AM6" s="11">
        <v>8.7721633253976365E-6</v>
      </c>
      <c r="AN6" s="9">
        <f>Pro!M6</f>
        <v>43966.8</v>
      </c>
    </row>
    <row r="7" spans="1:40" x14ac:dyDescent="0.45">
      <c r="A7" s="5" t="s">
        <v>115</v>
      </c>
      <c r="B7" s="1" t="s">
        <v>17</v>
      </c>
      <c r="C7" s="1" t="s">
        <v>304</v>
      </c>
      <c r="F7" s="3">
        <f>NetNum!T7</f>
        <v>42</v>
      </c>
      <c r="G7" s="9">
        <f t="shared" si="2"/>
        <v>1214.1847998946685</v>
      </c>
      <c r="H7" s="9">
        <f t="shared" si="2"/>
        <v>2286.7570313561873</v>
      </c>
      <c r="I7" s="9">
        <f t="shared" si="2"/>
        <v>5316.0640292402568</v>
      </c>
      <c r="J7" s="9">
        <f t="shared" si="2"/>
        <v>2101.3419003738422</v>
      </c>
      <c r="K7" s="9">
        <f t="shared" si="2"/>
        <v>3323.5687528071867</v>
      </c>
      <c r="L7" s="9">
        <f t="shared" si="2"/>
        <v>0</v>
      </c>
      <c r="M7" s="9">
        <f t="shared" si="2"/>
        <v>2518.1825389836813</v>
      </c>
      <c r="N7" s="9">
        <f t="shared" si="2"/>
        <v>1332.4540140272529</v>
      </c>
      <c r="O7" s="9">
        <f t="shared" si="2"/>
        <v>2230.9480829377899</v>
      </c>
      <c r="P7" s="9">
        <f t="shared" si="2"/>
        <v>5212.1074587324101</v>
      </c>
      <c r="Q7" s="9">
        <f t="shared" si="2"/>
        <v>2668.0588805798225</v>
      </c>
      <c r="R7" s="9">
        <f t="shared" si="2"/>
        <v>1710.7390652861429</v>
      </c>
      <c r="S7" s="9">
        <f t="shared" si="3"/>
        <v>29914.40655421924</v>
      </c>
      <c r="T7" s="10">
        <f t="shared" si="4"/>
        <v>1.0225641596652553</v>
      </c>
      <c r="U7" s="11">
        <v>6.5612952595913908E-6</v>
      </c>
      <c r="V7" s="9">
        <f>Pro!K7</f>
        <v>30589.4</v>
      </c>
      <c r="X7" s="3">
        <f>NetNum!T7</f>
        <v>42</v>
      </c>
      <c r="Y7" s="9">
        <f t="shared" si="5"/>
        <v>968.49921843199888</v>
      </c>
      <c r="Z7" s="9">
        <f t="shared" si="5"/>
        <v>1854.60942989215</v>
      </c>
      <c r="AA7" s="9">
        <f t="shared" si="5"/>
        <v>5951.2136383451425</v>
      </c>
      <c r="AB7" s="9">
        <f t="shared" si="5"/>
        <v>1800.7421627689207</v>
      </c>
      <c r="AC7" s="9">
        <f t="shared" si="5"/>
        <v>3913.761635062343</v>
      </c>
      <c r="AD7" s="9">
        <f t="shared" si="5"/>
        <v>0</v>
      </c>
      <c r="AE7" s="9">
        <f t="shared" si="5"/>
        <v>1655.1765558111185</v>
      </c>
      <c r="AF7" s="9">
        <f t="shared" si="5"/>
        <v>914.01448186030223</v>
      </c>
      <c r="AG7" s="9">
        <f t="shared" si="5"/>
        <v>1941.276316108861</v>
      </c>
      <c r="AH7" s="9">
        <f t="shared" si="5"/>
        <v>5889.0809988483152</v>
      </c>
      <c r="AI7" s="9">
        <f t="shared" si="5"/>
        <v>2412.9208535907733</v>
      </c>
      <c r="AJ7" s="9">
        <f t="shared" si="5"/>
        <v>1212.3132775651561</v>
      </c>
      <c r="AK7" s="9">
        <f t="shared" si="6"/>
        <v>28513.608568285086</v>
      </c>
      <c r="AL7" s="10">
        <f t="shared" si="7"/>
        <v>1.0014937229573351</v>
      </c>
      <c r="AM7" s="11">
        <v>1.2318428772226491E-5</v>
      </c>
      <c r="AN7" s="9">
        <f>Pro!M7</f>
        <v>28556.2</v>
      </c>
    </row>
    <row r="8" spans="1:40" x14ac:dyDescent="0.45">
      <c r="A8" s="5" t="s">
        <v>117</v>
      </c>
      <c r="B8" s="1" t="s">
        <v>17</v>
      </c>
      <c r="C8" s="1" t="s">
        <v>305</v>
      </c>
      <c r="F8" s="3">
        <f>NetNum!T8</f>
        <v>43</v>
      </c>
      <c r="G8" s="9">
        <f t="shared" si="2"/>
        <v>5306.9742984348422</v>
      </c>
      <c r="H8" s="9">
        <f t="shared" si="2"/>
        <v>11740.0204397254</v>
      </c>
      <c r="I8" s="9">
        <f t="shared" si="2"/>
        <v>6584.6313479586952</v>
      </c>
      <c r="J8" s="9">
        <f t="shared" si="2"/>
        <v>7353.7526059184574</v>
      </c>
      <c r="K8" s="9">
        <f t="shared" si="2"/>
        <v>8460.7817619878097</v>
      </c>
      <c r="L8" s="9">
        <f t="shared" si="2"/>
        <v>2543.5765498558649</v>
      </c>
      <c r="M8" s="9">
        <f t="shared" si="2"/>
        <v>0</v>
      </c>
      <c r="N8" s="9">
        <f t="shared" si="2"/>
        <v>10643.328489904814</v>
      </c>
      <c r="O8" s="9">
        <f t="shared" si="2"/>
        <v>3617.3674122654543</v>
      </c>
      <c r="P8" s="9">
        <f t="shared" si="2"/>
        <v>4809.5252945889806</v>
      </c>
      <c r="Q8" s="9">
        <f t="shared" si="2"/>
        <v>9676.0454711865004</v>
      </c>
      <c r="R8" s="9">
        <f t="shared" si="2"/>
        <v>6635.6646326776217</v>
      </c>
      <c r="S8" s="9">
        <f t="shared" si="3"/>
        <v>77371.668304504434</v>
      </c>
      <c r="T8" s="10">
        <f t="shared" si="4"/>
        <v>1.0138090817854752</v>
      </c>
      <c r="U8" s="11">
        <v>5.4474114737886386E-6</v>
      </c>
      <c r="V8" s="9">
        <f>Pro!K8</f>
        <v>78440.100000000006</v>
      </c>
      <c r="X8" s="3">
        <f>NetNum!T8</f>
        <v>43</v>
      </c>
      <c r="Y8" s="9">
        <f t="shared" si="5"/>
        <v>5397.7426077916025</v>
      </c>
      <c r="Z8" s="9">
        <f t="shared" si="5"/>
        <v>13033.232165544718</v>
      </c>
      <c r="AA8" s="9">
        <f t="shared" si="5"/>
        <v>5153.6026963940649</v>
      </c>
      <c r="AB8" s="9">
        <f t="shared" si="5"/>
        <v>7254.0404422424654</v>
      </c>
      <c r="AC8" s="9">
        <f t="shared" si="5"/>
        <v>9988.0999422391942</v>
      </c>
      <c r="AD8" s="9">
        <f t="shared" si="5"/>
        <v>1653.7792095085238</v>
      </c>
      <c r="AE8" s="9">
        <f t="shared" si="5"/>
        <v>0</v>
      </c>
      <c r="AF8" s="9">
        <f t="shared" si="5"/>
        <v>12603.864256560786</v>
      </c>
      <c r="AG8" s="9">
        <f t="shared" si="5"/>
        <v>2555.0605933779957</v>
      </c>
      <c r="AH8" s="9">
        <f t="shared" si="5"/>
        <v>3388.6062551229661</v>
      </c>
      <c r="AI8" s="9">
        <f t="shared" si="5"/>
        <v>10438.831995023933</v>
      </c>
      <c r="AJ8" s="9">
        <f t="shared" si="5"/>
        <v>5650.1809144163481</v>
      </c>
      <c r="AK8" s="9">
        <f t="shared" si="6"/>
        <v>77117.041078222595</v>
      </c>
      <c r="AL8" s="10">
        <f t="shared" si="7"/>
        <v>1.002910626738774</v>
      </c>
      <c r="AM8" s="11">
        <v>8.8826399755395296E-6</v>
      </c>
      <c r="AN8" s="9">
        <f>Pro!M8</f>
        <v>77341.5</v>
      </c>
    </row>
    <row r="9" spans="1:40" x14ac:dyDescent="0.45">
      <c r="A9" s="5" t="s">
        <v>119</v>
      </c>
      <c r="B9" s="1" t="s">
        <v>17</v>
      </c>
      <c r="C9" s="1" t="s">
        <v>306</v>
      </c>
      <c r="F9" s="3">
        <f>NetNum!T9</f>
        <v>31</v>
      </c>
      <c r="G9" s="9">
        <f t="shared" si="2"/>
        <v>2413.0254469508836</v>
      </c>
      <c r="H9" s="9">
        <f t="shared" si="2"/>
        <v>3420.0819560306436</v>
      </c>
      <c r="I9" s="9">
        <f t="shared" si="2"/>
        <v>5834.9742201428726</v>
      </c>
      <c r="J9" s="9">
        <f t="shared" si="2"/>
        <v>2992.9180698711002</v>
      </c>
      <c r="K9" s="9">
        <f t="shared" si="2"/>
        <v>1566.1566881170079</v>
      </c>
      <c r="L9" s="9">
        <f t="shared" si="2"/>
        <v>1363.0716741856418</v>
      </c>
      <c r="M9" s="9">
        <f t="shared" si="2"/>
        <v>10779.194921208609</v>
      </c>
      <c r="N9" s="9">
        <f t="shared" si="2"/>
        <v>0</v>
      </c>
      <c r="O9" s="9">
        <f t="shared" si="2"/>
        <v>2856.6382775758625</v>
      </c>
      <c r="P9" s="9">
        <f t="shared" si="2"/>
        <v>5343.5422893245513</v>
      </c>
      <c r="Q9" s="9">
        <f t="shared" si="2"/>
        <v>4659.5718247384457</v>
      </c>
      <c r="R9" s="9">
        <f t="shared" si="2"/>
        <v>5403.8209269285871</v>
      </c>
      <c r="S9" s="9">
        <f t="shared" si="3"/>
        <v>46632.996295074197</v>
      </c>
      <c r="T9" s="10">
        <f t="shared" si="4"/>
        <v>0.99491998554896155</v>
      </c>
      <c r="U9" s="11">
        <v>4.435013580239355E-6</v>
      </c>
      <c r="V9" s="9">
        <f>Pro!K9</f>
        <v>46396.1</v>
      </c>
      <c r="X9" s="3">
        <f>NetNum!T9</f>
        <v>31</v>
      </c>
      <c r="Y9" s="9">
        <f t="shared" si="5"/>
        <v>2354.0866852856007</v>
      </c>
      <c r="Z9" s="9">
        <f t="shared" si="5"/>
        <v>2966.1873083835758</v>
      </c>
      <c r="AA9" s="9">
        <f t="shared" si="5"/>
        <v>6137.4667600333514</v>
      </c>
      <c r="AB9" s="9">
        <f t="shared" si="5"/>
        <v>2691.4710458684749</v>
      </c>
      <c r="AC9" s="9">
        <f t="shared" si="5"/>
        <v>1166.7400561882998</v>
      </c>
      <c r="AD9" s="9">
        <f t="shared" si="5"/>
        <v>915.62834812314645</v>
      </c>
      <c r="AE9" s="9">
        <f t="shared" si="5"/>
        <v>12636.787102895636</v>
      </c>
      <c r="AF9" s="9">
        <f t="shared" si="5"/>
        <v>0</v>
      </c>
      <c r="AG9" s="9">
        <f t="shared" si="5"/>
        <v>2490.1101742866308</v>
      </c>
      <c r="AH9" s="9">
        <f t="shared" si="5"/>
        <v>5460.0205441107755</v>
      </c>
      <c r="AI9" s="9">
        <f t="shared" si="5"/>
        <v>4955.6398667543308</v>
      </c>
      <c r="AJ9" s="9">
        <f t="shared" si="5"/>
        <v>5855.8169759454813</v>
      </c>
      <c r="AK9" s="9">
        <f t="shared" si="6"/>
        <v>47629.954867875305</v>
      </c>
      <c r="AL9" s="10">
        <f t="shared" si="7"/>
        <v>0.99910025386347345</v>
      </c>
      <c r="AM9" s="11">
        <v>6.8535130088581539E-6</v>
      </c>
      <c r="AN9" s="9">
        <f>Pro!M9</f>
        <v>47587.1</v>
      </c>
    </row>
    <row r="10" spans="1:40" x14ac:dyDescent="0.45">
      <c r="A10" s="5" t="s">
        <v>121</v>
      </c>
      <c r="B10" s="1" t="s">
        <v>17</v>
      </c>
      <c r="C10" s="1" t="s">
        <v>307</v>
      </c>
      <c r="F10" s="3">
        <f>NetNum!T10</f>
        <v>33</v>
      </c>
      <c r="G10" s="9">
        <f t="shared" si="2"/>
        <v>3212.9113798149733</v>
      </c>
      <c r="H10" s="9">
        <f t="shared" si="2"/>
        <v>2750.6411095362009</v>
      </c>
      <c r="I10" s="9">
        <f t="shared" si="2"/>
        <v>6150.4102662990335</v>
      </c>
      <c r="J10" s="9">
        <f t="shared" si="2"/>
        <v>3154.7138562467171</v>
      </c>
      <c r="K10" s="9">
        <f t="shared" si="2"/>
        <v>2287.6155195739607</v>
      </c>
      <c r="L10" s="9">
        <f t="shared" si="2"/>
        <v>2216.7383472389438</v>
      </c>
      <c r="M10" s="9">
        <f t="shared" si="2"/>
        <v>3558.4427905670705</v>
      </c>
      <c r="N10" s="9">
        <f t="shared" si="2"/>
        <v>2774.6854590452385</v>
      </c>
      <c r="O10" s="9">
        <f t="shared" si="2"/>
        <v>0</v>
      </c>
      <c r="P10" s="9">
        <f t="shared" si="2"/>
        <v>2313.4584415885997</v>
      </c>
      <c r="Q10" s="9">
        <f t="shared" si="2"/>
        <v>4079.2167966861962</v>
      </c>
      <c r="R10" s="9">
        <f t="shared" si="2"/>
        <v>3013.9619648735147</v>
      </c>
      <c r="S10" s="9">
        <f t="shared" si="3"/>
        <v>35512.795931470449</v>
      </c>
      <c r="T10" s="10">
        <f t="shared" si="4"/>
        <v>1.0284490151234262</v>
      </c>
      <c r="U10" s="11">
        <v>5.9384614617300245E-6</v>
      </c>
      <c r="V10" s="9">
        <f>Pro!K10</f>
        <v>36523.1</v>
      </c>
      <c r="X10" s="3">
        <f>NetNum!T10</f>
        <v>33</v>
      </c>
      <c r="Y10" s="9">
        <f t="shared" si="5"/>
        <v>3767.3390041396856</v>
      </c>
      <c r="Z10" s="9">
        <f t="shared" si="5"/>
        <v>2268.775250526106</v>
      </c>
      <c r="AA10" s="9">
        <f t="shared" si="5"/>
        <v>6940.2216695202014</v>
      </c>
      <c r="AB10" s="9">
        <f t="shared" si="5"/>
        <v>3043.5041696781568</v>
      </c>
      <c r="AC10" s="9">
        <f t="shared" si="5"/>
        <v>2116.1704711635489</v>
      </c>
      <c r="AD10" s="9">
        <f t="shared" si="5"/>
        <v>1938.8041293406018</v>
      </c>
      <c r="AE10" s="9">
        <f t="shared" si="5"/>
        <v>2553.9628882228249</v>
      </c>
      <c r="AF10" s="9">
        <f t="shared" si="5"/>
        <v>2482.5556319497659</v>
      </c>
      <c r="AG10" s="9">
        <f t="shared" si="5"/>
        <v>0</v>
      </c>
      <c r="AH10" s="9">
        <f t="shared" si="5"/>
        <v>1683.3500266679021</v>
      </c>
      <c r="AI10" s="9">
        <f t="shared" si="5"/>
        <v>4229.623338680125</v>
      </c>
      <c r="AJ10" s="9">
        <f t="shared" si="5"/>
        <v>2578.8863854380552</v>
      </c>
      <c r="AK10" s="9">
        <f t="shared" si="6"/>
        <v>33603.192965326976</v>
      </c>
      <c r="AL10" s="10">
        <f t="shared" si="7"/>
        <v>1.0029433820403637</v>
      </c>
      <c r="AM10" s="11">
        <v>1.0942831371514554E-5</v>
      </c>
      <c r="AN10" s="9">
        <f>Pro!M10</f>
        <v>33702.1</v>
      </c>
    </row>
    <row r="11" spans="1:40" x14ac:dyDescent="0.45">
      <c r="A11" s="5" t="s">
        <v>123</v>
      </c>
      <c r="B11" s="1" t="s">
        <v>17</v>
      </c>
      <c r="C11" s="1" t="s">
        <v>308</v>
      </c>
      <c r="F11" s="3">
        <f>NetNum!T11</f>
        <v>30</v>
      </c>
      <c r="G11" s="9">
        <f t="shared" si="2"/>
        <v>2226.1655371458028</v>
      </c>
      <c r="H11" s="9">
        <f t="shared" si="2"/>
        <v>5200.2540813558135</v>
      </c>
      <c r="I11" s="9">
        <f t="shared" si="2"/>
        <v>6074.3019860189506</v>
      </c>
      <c r="J11" s="9">
        <f t="shared" si="2"/>
        <v>4811.4941386533692</v>
      </c>
      <c r="K11" s="9">
        <f t="shared" si="2"/>
        <v>8024.773810767676</v>
      </c>
      <c r="L11" s="9">
        <f t="shared" si="2"/>
        <v>5323.9453323833386</v>
      </c>
      <c r="M11" s="9">
        <f t="shared" si="2"/>
        <v>4863.678230240419</v>
      </c>
      <c r="N11" s="9">
        <f t="shared" si="2"/>
        <v>5335.5969268111139</v>
      </c>
      <c r="O11" s="9">
        <f t="shared" si="2"/>
        <v>2378.2470039469072</v>
      </c>
      <c r="P11" s="9">
        <f t="shared" si="2"/>
        <v>0</v>
      </c>
      <c r="Q11" s="9">
        <f t="shared" si="2"/>
        <v>5544.2869549125826</v>
      </c>
      <c r="R11" s="9">
        <f t="shared" si="2"/>
        <v>6459.8283307755719</v>
      </c>
      <c r="S11" s="9">
        <f t="shared" si="3"/>
        <v>56242.572333011536</v>
      </c>
      <c r="T11" s="10">
        <f t="shared" si="4"/>
        <v>1.0010530753578941</v>
      </c>
      <c r="U11" s="11">
        <v>5.5570230779009907E-6</v>
      </c>
      <c r="V11" s="9">
        <f>Pro!K11</f>
        <v>56301.8</v>
      </c>
      <c r="X11" s="3">
        <f>NetNum!T11</f>
        <v>30</v>
      </c>
      <c r="Y11" s="9">
        <f t="shared" si="5"/>
        <v>1842.2168802769402</v>
      </c>
      <c r="Z11" s="9">
        <f t="shared" si="5"/>
        <v>4813.2936997353672</v>
      </c>
      <c r="AA11" s="9">
        <f t="shared" si="5"/>
        <v>5589.1366076171089</v>
      </c>
      <c r="AB11" s="9">
        <f t="shared" si="5"/>
        <v>4738.0411991668443</v>
      </c>
      <c r="AC11" s="9">
        <f t="shared" si="5"/>
        <v>11450.684677060352</v>
      </c>
      <c r="AD11" s="9">
        <f t="shared" si="5"/>
        <v>5887.4403897635457</v>
      </c>
      <c r="AE11" s="9">
        <f t="shared" si="5"/>
        <v>3390.5246161929026</v>
      </c>
      <c r="AF11" s="9">
        <f t="shared" si="5"/>
        <v>5448.8784344371979</v>
      </c>
      <c r="AG11" s="9">
        <f t="shared" si="5"/>
        <v>1685.0269277066147</v>
      </c>
      <c r="AH11" s="9">
        <f t="shared" si="5"/>
        <v>0</v>
      </c>
      <c r="AI11" s="9">
        <f t="shared" si="5"/>
        <v>5552.4178821624073</v>
      </c>
      <c r="AJ11" s="9">
        <f t="shared" si="5"/>
        <v>6622.3263294816834</v>
      </c>
      <c r="AK11" s="9">
        <f t="shared" si="6"/>
        <v>57019.987643600965</v>
      </c>
      <c r="AL11" s="10">
        <f t="shared" si="7"/>
        <v>1.0023537773672964</v>
      </c>
      <c r="AM11" s="11">
        <v>9.2597256763643504E-6</v>
      </c>
      <c r="AN11" s="9">
        <f>Pro!M11</f>
        <v>57154.2</v>
      </c>
    </row>
    <row r="12" spans="1:40" x14ac:dyDescent="0.45">
      <c r="A12" s="5" t="s">
        <v>125</v>
      </c>
      <c r="B12" s="1" t="s">
        <v>17</v>
      </c>
      <c r="C12" s="1" t="s">
        <v>309</v>
      </c>
      <c r="F12" s="3">
        <f>NetNum!T12</f>
        <v>18</v>
      </c>
      <c r="G12" s="9">
        <f t="shared" si="2"/>
        <v>2674.212259368222</v>
      </c>
      <c r="H12" s="9">
        <f t="shared" si="2"/>
        <v>5915.8580425773735</v>
      </c>
      <c r="I12" s="9">
        <f t="shared" si="2"/>
        <v>6105.7599058018695</v>
      </c>
      <c r="J12" s="9">
        <f t="shared" si="2"/>
        <v>1633.1799716440332</v>
      </c>
      <c r="K12" s="9">
        <f t="shared" si="2"/>
        <v>1322.702893201254</v>
      </c>
      <c r="L12" s="9">
        <f t="shared" si="2"/>
        <v>2748.526749468318</v>
      </c>
      <c r="M12" s="9">
        <f t="shared" si="2"/>
        <v>9868.3570568835439</v>
      </c>
      <c r="N12" s="9">
        <f t="shared" si="2"/>
        <v>4692.2820078097193</v>
      </c>
      <c r="O12" s="9">
        <f t="shared" si="2"/>
        <v>4229.182000676642</v>
      </c>
      <c r="P12" s="9">
        <f t="shared" si="2"/>
        <v>5591.5219218082002</v>
      </c>
      <c r="Q12" s="9">
        <f t="shared" si="2"/>
        <v>0</v>
      </c>
      <c r="R12" s="9">
        <f t="shared" si="2"/>
        <v>3961.0432143738517</v>
      </c>
      <c r="S12" s="9">
        <f t="shared" si="3"/>
        <v>48742.626023613026</v>
      </c>
      <c r="T12" s="10">
        <f t="shared" si="4"/>
        <v>0.98563216468325376</v>
      </c>
      <c r="U12" s="11">
        <v>4.4818097812501617E-6</v>
      </c>
      <c r="V12" s="9">
        <f>Pro!K12</f>
        <v>48042.3</v>
      </c>
      <c r="X12" s="3">
        <f>NetNum!T12</f>
        <v>18</v>
      </c>
      <c r="Y12" s="9">
        <f t="shared" si="5"/>
        <v>2612.7897822797572</v>
      </c>
      <c r="Z12" s="9">
        <f t="shared" si="5"/>
        <v>6308.7661466220543</v>
      </c>
      <c r="AA12" s="9">
        <f t="shared" si="5"/>
        <v>6257.9720724799172</v>
      </c>
      <c r="AB12" s="9">
        <f t="shared" si="5"/>
        <v>1069.6878553146844</v>
      </c>
      <c r="AC12" s="9">
        <f t="shared" si="5"/>
        <v>873.74869390142987</v>
      </c>
      <c r="AD12" s="9">
        <f t="shared" si="5"/>
        <v>2418.6814414576925</v>
      </c>
      <c r="AE12" s="9">
        <f t="shared" si="5"/>
        <v>10472.594835910082</v>
      </c>
      <c r="AF12" s="9">
        <f t="shared" si="5"/>
        <v>4958.7153672594613</v>
      </c>
      <c r="AG12" s="9">
        <f t="shared" si="5"/>
        <v>4245.1272143908909</v>
      </c>
      <c r="AH12" s="9">
        <f t="shared" si="5"/>
        <v>5567.2246247776275</v>
      </c>
      <c r="AI12" s="9">
        <f t="shared" si="5"/>
        <v>0</v>
      </c>
      <c r="AJ12" s="9">
        <f t="shared" si="5"/>
        <v>3507.6856807464524</v>
      </c>
      <c r="AK12" s="9">
        <f t="shared" si="6"/>
        <v>48292.993715140052</v>
      </c>
      <c r="AL12" s="10">
        <f t="shared" si="7"/>
        <v>0.99830837335076128</v>
      </c>
      <c r="AM12" s="11">
        <v>6.897601599011076E-6</v>
      </c>
      <c r="AN12" s="9">
        <f>Pro!M12</f>
        <v>48211.3</v>
      </c>
    </row>
    <row r="13" spans="1:40" x14ac:dyDescent="0.45">
      <c r="A13" s="5" t="s">
        <v>127</v>
      </c>
      <c r="B13" s="1" t="s">
        <v>17</v>
      </c>
      <c r="C13" s="1" t="s">
        <v>310</v>
      </c>
      <c r="F13" s="3">
        <f>NetNum!T13</f>
        <v>40</v>
      </c>
      <c r="G13" s="9">
        <f t="shared" si="2"/>
        <v>2451.3183431566963</v>
      </c>
      <c r="H13" s="9">
        <f t="shared" si="2"/>
        <v>6064.0990190102666</v>
      </c>
      <c r="I13" s="9">
        <f t="shared" si="2"/>
        <v>2203.1321988506838</v>
      </c>
      <c r="J13" s="9">
        <f t="shared" si="2"/>
        <v>2741.0929750988662</v>
      </c>
      <c r="K13" s="9">
        <f t="shared" si="2"/>
        <v>1888.3939493725259</v>
      </c>
      <c r="L13" s="9">
        <f t="shared" si="2"/>
        <v>1734.3224640393871</v>
      </c>
      <c r="M13" s="9">
        <f t="shared" si="2"/>
        <v>6659.9796330322997</v>
      </c>
      <c r="N13" s="9">
        <f t="shared" si="2"/>
        <v>5355.2600151944516</v>
      </c>
      <c r="O13" s="9">
        <f t="shared" si="2"/>
        <v>3075.0973826446775</v>
      </c>
      <c r="P13" s="9">
        <f t="shared" si="2"/>
        <v>6411.3107484298462</v>
      </c>
      <c r="Q13" s="9">
        <f t="shared" si="2"/>
        <v>3898.0831499810879</v>
      </c>
      <c r="R13" s="9">
        <f t="shared" si="2"/>
        <v>0</v>
      </c>
      <c r="S13" s="9">
        <f t="shared" si="3"/>
        <v>42482.089878810788</v>
      </c>
      <c r="T13" s="10">
        <f t="shared" si="4"/>
        <v>1.0054260541759312</v>
      </c>
      <c r="U13" s="11">
        <v>6.129592140040525E-6</v>
      </c>
      <c r="V13" s="9">
        <f>Pro!K13</f>
        <v>42712.6</v>
      </c>
      <c r="X13" s="3">
        <f>NetNum!T13</f>
        <v>40</v>
      </c>
      <c r="Y13" s="9">
        <f t="shared" si="5"/>
        <v>2245.1744001985112</v>
      </c>
      <c r="Z13" s="9">
        <f t="shared" si="5"/>
        <v>6384.424770216915</v>
      </c>
      <c r="AA13" s="9">
        <f t="shared" si="5"/>
        <v>1346.5874898839863</v>
      </c>
      <c r="AB13" s="9">
        <f t="shared" si="5"/>
        <v>2215.4260700475816</v>
      </c>
      <c r="AC13" s="9">
        <f t="shared" si="5"/>
        <v>1432.6971295414182</v>
      </c>
      <c r="AD13" s="9">
        <f t="shared" si="5"/>
        <v>1215.0054042168999</v>
      </c>
      <c r="AE13" s="9">
        <f t="shared" si="5"/>
        <v>5667.5126760278526</v>
      </c>
      <c r="AF13" s="9">
        <f t="shared" si="5"/>
        <v>5858.4764577302658</v>
      </c>
      <c r="AG13" s="9">
        <f t="shared" si="5"/>
        <v>2587.9088600169239</v>
      </c>
      <c r="AH13" s="9">
        <f t="shared" si="5"/>
        <v>6638.8817080179288</v>
      </c>
      <c r="AI13" s="9">
        <f t="shared" si="5"/>
        <v>3507.1022044946312</v>
      </c>
      <c r="AJ13" s="9">
        <f t="shared" si="5"/>
        <v>0</v>
      </c>
      <c r="AK13" s="9">
        <f t="shared" si="6"/>
        <v>39099.197170392916</v>
      </c>
      <c r="AL13" s="10">
        <f t="shared" si="7"/>
        <v>0.99874684970692895</v>
      </c>
      <c r="AM13" s="11">
        <v>1.1082511683232416E-5</v>
      </c>
      <c r="AN13" s="9">
        <f>Pro!M13</f>
        <v>39050.199999999997</v>
      </c>
    </row>
    <row r="14" spans="1:40" x14ac:dyDescent="0.45">
      <c r="A14" s="5" t="s">
        <v>129</v>
      </c>
      <c r="B14" s="1" t="s">
        <v>17</v>
      </c>
      <c r="C14" s="1" t="s">
        <v>311</v>
      </c>
      <c r="F14" s="4" t="s">
        <v>107</v>
      </c>
      <c r="G14" s="9">
        <f>SUM(G2:G13)</f>
        <v>31939.699999999993</v>
      </c>
      <c r="H14" s="9">
        <f t="shared" ref="H14:R14" si="8">SUM(H2:H13)</f>
        <v>53927.899999999994</v>
      </c>
      <c r="I14" s="9">
        <f t="shared" si="8"/>
        <v>50451.4</v>
      </c>
      <c r="J14" s="9">
        <f t="shared" si="8"/>
        <v>40692.9</v>
      </c>
      <c r="K14" s="9">
        <f t="shared" si="8"/>
        <v>39362</v>
      </c>
      <c r="L14" s="9">
        <f t="shared" si="8"/>
        <v>30589.4</v>
      </c>
      <c r="M14" s="9">
        <f t="shared" si="8"/>
        <v>78440.10000000002</v>
      </c>
      <c r="N14" s="9">
        <f t="shared" si="8"/>
        <v>46396.100000000006</v>
      </c>
      <c r="O14" s="9">
        <f t="shared" si="8"/>
        <v>36523.1</v>
      </c>
      <c r="P14" s="9">
        <f t="shared" si="8"/>
        <v>56301.799999999988</v>
      </c>
      <c r="Q14" s="9">
        <f t="shared" si="8"/>
        <v>48042.3</v>
      </c>
      <c r="R14" s="9">
        <f t="shared" si="8"/>
        <v>42712.599999999984</v>
      </c>
      <c r="S14" s="9">
        <f t="shared" si="3"/>
        <v>555379.29999999993</v>
      </c>
      <c r="T14" s="12"/>
      <c r="U14" s="12"/>
      <c r="V14" s="9">
        <f>SUM(V2:V13)</f>
        <v>555379.29999999993</v>
      </c>
      <c r="X14" s="4" t="s">
        <v>125</v>
      </c>
      <c r="Y14" s="9">
        <f>SUM(Y2:Y13)</f>
        <v>32516.299999999996</v>
      </c>
      <c r="Z14" s="9">
        <f t="shared" ref="Z14:AJ14" si="9">SUM(Z2:Z13)</f>
        <v>54837.30000000001</v>
      </c>
      <c r="AA14" s="9">
        <f t="shared" si="9"/>
        <v>47662.999999999993</v>
      </c>
      <c r="AB14" s="9">
        <f t="shared" si="9"/>
        <v>40024.299999999996</v>
      </c>
      <c r="AC14" s="9">
        <f t="shared" si="9"/>
        <v>43966.8</v>
      </c>
      <c r="AD14" s="9">
        <f t="shared" si="9"/>
        <v>28556.200000000004</v>
      </c>
      <c r="AE14" s="9">
        <f t="shared" si="9"/>
        <v>77341.500000000015</v>
      </c>
      <c r="AF14" s="9">
        <f t="shared" si="9"/>
        <v>47587.1</v>
      </c>
      <c r="AG14" s="9">
        <f t="shared" si="9"/>
        <v>33702.099999999991</v>
      </c>
      <c r="AH14" s="9">
        <f t="shared" si="9"/>
        <v>57154.2</v>
      </c>
      <c r="AI14" s="9">
        <f t="shared" si="9"/>
        <v>48211.3</v>
      </c>
      <c r="AJ14" s="9">
        <f t="shared" si="9"/>
        <v>39050.199999999997</v>
      </c>
      <c r="AK14" s="9">
        <f t="shared" si="6"/>
        <v>550610.29999999993</v>
      </c>
      <c r="AL14" s="12"/>
      <c r="AM14" s="12"/>
      <c r="AN14" s="9">
        <f>SUM(AN2:AN13)</f>
        <v>550610.29999999993</v>
      </c>
    </row>
    <row r="15" spans="1:40" x14ac:dyDescent="0.45">
      <c r="A15" s="5" t="s">
        <v>131</v>
      </c>
      <c r="B15" s="1" t="s">
        <v>17</v>
      </c>
      <c r="C15" s="1" t="s">
        <v>312</v>
      </c>
      <c r="F15" s="4" t="s">
        <v>109</v>
      </c>
      <c r="G15" s="10">
        <f>IFERROR(G17/G14,0)</f>
        <v>1.0000000000000002</v>
      </c>
      <c r="H15" s="10">
        <f t="shared" ref="H15:R15" si="10">IFERROR(H17/H14,0)</f>
        <v>1</v>
      </c>
      <c r="I15" s="10">
        <f t="shared" si="10"/>
        <v>1</v>
      </c>
      <c r="J15" s="10">
        <f t="shared" si="10"/>
        <v>0.99999999999999978</v>
      </c>
      <c r="K15" s="10">
        <f t="shared" si="10"/>
        <v>1</v>
      </c>
      <c r="L15" s="10">
        <f t="shared" si="10"/>
        <v>1</v>
      </c>
      <c r="M15" s="10">
        <f t="shared" si="10"/>
        <v>0.99999999999999978</v>
      </c>
      <c r="N15" s="10">
        <f t="shared" si="10"/>
        <v>0.99999999999999989</v>
      </c>
      <c r="O15" s="10">
        <f t="shared" si="10"/>
        <v>1</v>
      </c>
      <c r="P15" s="10">
        <f t="shared" si="10"/>
        <v>1.0000000000000002</v>
      </c>
      <c r="Q15" s="10">
        <f t="shared" si="10"/>
        <v>1</v>
      </c>
      <c r="R15" s="10">
        <f t="shared" si="10"/>
        <v>1.0000000000000004</v>
      </c>
      <c r="S15" s="13"/>
      <c r="T15" s="14">
        <f>MAX(T2:T13,G15:R15)</f>
        <v>1.0284490151234262</v>
      </c>
      <c r="U15" s="12"/>
      <c r="V15" s="12"/>
      <c r="X15" s="4" t="s">
        <v>127</v>
      </c>
      <c r="Y15" s="10">
        <f>IFERROR(Y17/Y14,0)</f>
        <v>1.0000000000000002</v>
      </c>
      <c r="Z15" s="10">
        <f t="shared" ref="Z15:AJ15" si="11">IFERROR(Z17/Z14,0)</f>
        <v>0.99999999999999989</v>
      </c>
      <c r="AA15" s="10">
        <f t="shared" si="11"/>
        <v>1.0000000000000002</v>
      </c>
      <c r="AB15" s="10">
        <f t="shared" si="11"/>
        <v>1.0000000000000002</v>
      </c>
      <c r="AC15" s="10">
        <f t="shared" si="11"/>
        <v>1</v>
      </c>
      <c r="AD15" s="10">
        <f t="shared" si="11"/>
        <v>0.99999999999999989</v>
      </c>
      <c r="AE15" s="10">
        <f t="shared" si="11"/>
        <v>0.99999999999999978</v>
      </c>
      <c r="AF15" s="10">
        <f t="shared" si="11"/>
        <v>1</v>
      </c>
      <c r="AG15" s="10">
        <f t="shared" si="11"/>
        <v>1.0000000000000002</v>
      </c>
      <c r="AH15" s="10">
        <f t="shared" si="11"/>
        <v>1</v>
      </c>
      <c r="AI15" s="10">
        <f t="shared" si="11"/>
        <v>1</v>
      </c>
      <c r="AJ15" s="10">
        <f t="shared" si="11"/>
        <v>1</v>
      </c>
      <c r="AK15" s="13"/>
      <c r="AL15" s="14">
        <f>MAX(AL2:AL13,Y15:AJ15)</f>
        <v>1.0029433820403637</v>
      </c>
      <c r="AM15" s="12"/>
      <c r="AN15" s="12"/>
    </row>
    <row r="16" spans="1:40" x14ac:dyDescent="0.45">
      <c r="A16" s="5" t="s">
        <v>133</v>
      </c>
      <c r="B16" s="1" t="s">
        <v>17</v>
      </c>
      <c r="C16" s="1" t="s">
        <v>313</v>
      </c>
      <c r="F16" s="4" t="s">
        <v>111</v>
      </c>
      <c r="G16" s="11">
        <v>0.96266144904385642</v>
      </c>
      <c r="H16" s="11">
        <v>1.2612836697112226</v>
      </c>
      <c r="I16" s="11">
        <v>0.84773460273927692</v>
      </c>
      <c r="J16" s="11">
        <v>1.1737944225388881</v>
      </c>
      <c r="K16" s="11">
        <v>0.98279238751345455</v>
      </c>
      <c r="L16" s="11">
        <v>1.2254606834587143</v>
      </c>
      <c r="M16" s="11">
        <v>1.00726183245107</v>
      </c>
      <c r="N16" s="11">
        <v>0.80972638566715038</v>
      </c>
      <c r="O16" s="11">
        <v>1.1162430626838296</v>
      </c>
      <c r="P16" s="11">
        <v>1.0160890585490689</v>
      </c>
      <c r="Q16" s="11">
        <v>0.81256603037390163</v>
      </c>
      <c r="R16" s="11">
        <v>1.12926352798312</v>
      </c>
      <c r="S16" s="12"/>
      <c r="T16" s="12"/>
      <c r="U16" s="12"/>
      <c r="V16" s="12"/>
      <c r="X16" s="4" t="s">
        <v>129</v>
      </c>
      <c r="Y16" s="11">
        <v>1.0026585183552212</v>
      </c>
      <c r="Z16" s="11">
        <v>1.4355491500263371</v>
      </c>
      <c r="AA16" s="11">
        <v>0.77304071390565354</v>
      </c>
      <c r="AB16" s="11">
        <v>1.2957733227116084</v>
      </c>
      <c r="AC16" s="11">
        <v>0.96351259523428434</v>
      </c>
      <c r="AD16" s="11">
        <v>1.3591429136953237</v>
      </c>
      <c r="AE16" s="11">
        <v>0.98088629554469842</v>
      </c>
      <c r="AF16" s="11">
        <v>0.75484346005743763</v>
      </c>
      <c r="AG16" s="11">
        <v>1.208907119862866</v>
      </c>
      <c r="AH16" s="11">
        <v>1.0219483196741657</v>
      </c>
      <c r="AI16" s="11">
        <v>0.75922817986766711</v>
      </c>
      <c r="AJ16" s="11">
        <v>1.2200697467080615</v>
      </c>
      <c r="AK16" s="12"/>
      <c r="AL16" s="12"/>
      <c r="AM16" s="12"/>
      <c r="AN16" s="12"/>
    </row>
    <row r="17" spans="1:40" x14ac:dyDescent="0.45">
      <c r="A17" s="5" t="s">
        <v>135</v>
      </c>
      <c r="B17" s="1" t="s">
        <v>17</v>
      </c>
      <c r="C17" s="1" t="s">
        <v>332</v>
      </c>
      <c r="F17" s="4" t="s">
        <v>113</v>
      </c>
      <c r="G17" s="9">
        <f>Pro!L2</f>
        <v>31939.699999999997</v>
      </c>
      <c r="H17" s="9">
        <f>Pro!L3</f>
        <v>53927.899999999994</v>
      </c>
      <c r="I17" s="9">
        <f>Pro!L4</f>
        <v>50451.4</v>
      </c>
      <c r="J17" s="9">
        <f>Pro!L5</f>
        <v>40692.899999999994</v>
      </c>
      <c r="K17" s="9">
        <f>Pro!L6</f>
        <v>39362</v>
      </c>
      <c r="L17" s="9">
        <f>Pro!L7</f>
        <v>30589.4</v>
      </c>
      <c r="M17" s="9">
        <f>Pro!L8</f>
        <v>78440.100000000006</v>
      </c>
      <c r="N17" s="9">
        <f>Pro!L9</f>
        <v>46396.1</v>
      </c>
      <c r="O17" s="9">
        <f>Pro!L10</f>
        <v>36523.1</v>
      </c>
      <c r="P17" s="9">
        <f>Pro!L11</f>
        <v>56301.8</v>
      </c>
      <c r="Q17" s="9">
        <f>Pro!L12</f>
        <v>48042.3</v>
      </c>
      <c r="R17" s="9">
        <f>Pro!L13</f>
        <v>42712.6</v>
      </c>
      <c r="S17" s="9">
        <f>SUM(G17:R17)</f>
        <v>555379.29999999993</v>
      </c>
      <c r="T17" s="12"/>
      <c r="U17" s="12"/>
      <c r="V17" s="12"/>
      <c r="X17" s="4" t="s">
        <v>131</v>
      </c>
      <c r="Y17" s="9">
        <f>Pro!N2</f>
        <v>32516.3</v>
      </c>
      <c r="Z17" s="9">
        <f>Pro!N3</f>
        <v>54837.3</v>
      </c>
      <c r="AA17" s="9">
        <f>Pro!N4</f>
        <v>47663</v>
      </c>
      <c r="AB17" s="9">
        <f>Pro!N5</f>
        <v>40024.300000000003</v>
      </c>
      <c r="AC17" s="9">
        <f>Pro!N6</f>
        <v>43966.8</v>
      </c>
      <c r="AD17" s="9">
        <f>Pro!N7</f>
        <v>28556.2</v>
      </c>
      <c r="AE17" s="9">
        <f>Pro!N8</f>
        <v>77341.5</v>
      </c>
      <c r="AF17" s="9">
        <f>Pro!N9</f>
        <v>47587.1</v>
      </c>
      <c r="AG17" s="9">
        <f>Pro!N10</f>
        <v>33702.1</v>
      </c>
      <c r="AH17" s="9">
        <f>Pro!N11</f>
        <v>57154.2</v>
      </c>
      <c r="AI17" s="9">
        <f>Pro!N12</f>
        <v>48211.3</v>
      </c>
      <c r="AJ17" s="9">
        <f>Pro!N13</f>
        <v>39050.199999999997</v>
      </c>
      <c r="AK17" s="9"/>
      <c r="AL17" s="12"/>
      <c r="AM17" s="12"/>
      <c r="AN17" s="12"/>
    </row>
    <row r="18" spans="1:40" x14ac:dyDescent="0.45">
      <c r="A18" s="5" t="s">
        <v>137</v>
      </c>
      <c r="B18" s="1" t="s">
        <v>17</v>
      </c>
      <c r="C18" s="1" t="s">
        <v>333</v>
      </c>
    </row>
    <row r="19" spans="1:40" x14ac:dyDescent="0.45">
      <c r="A19" s="5" t="s">
        <v>139</v>
      </c>
      <c r="B19" s="1" t="s">
        <v>17</v>
      </c>
      <c r="C19" s="1" t="s">
        <v>334</v>
      </c>
      <c r="F19" s="4" t="s">
        <v>141</v>
      </c>
      <c r="G19" s="3">
        <f t="shared" ref="G19:R19" si="12">G1</f>
        <v>9</v>
      </c>
      <c r="H19" s="3">
        <f t="shared" si="12"/>
        <v>12</v>
      </c>
      <c r="I19" s="3">
        <f t="shared" si="12"/>
        <v>29</v>
      </c>
      <c r="J19" s="3">
        <f t="shared" si="12"/>
        <v>24</v>
      </c>
      <c r="K19" s="3">
        <f t="shared" si="12"/>
        <v>21</v>
      </c>
      <c r="L19" s="3">
        <f t="shared" si="12"/>
        <v>42</v>
      </c>
      <c r="M19" s="3">
        <f t="shared" si="12"/>
        <v>43</v>
      </c>
      <c r="N19" s="3">
        <f t="shared" si="12"/>
        <v>31</v>
      </c>
      <c r="O19" s="3">
        <f t="shared" si="12"/>
        <v>33</v>
      </c>
      <c r="P19" s="3">
        <f t="shared" si="12"/>
        <v>30</v>
      </c>
      <c r="Q19" s="3">
        <f t="shared" si="12"/>
        <v>18</v>
      </c>
      <c r="R19" s="3">
        <f t="shared" si="12"/>
        <v>40</v>
      </c>
      <c r="S19" s="3" t="s">
        <v>329</v>
      </c>
      <c r="X19" s="4" t="s">
        <v>143</v>
      </c>
      <c r="Y19" s="3">
        <f>Y1</f>
        <v>9</v>
      </c>
      <c r="Z19" s="3">
        <f t="shared" ref="Z19:AJ19" si="13">Z1</f>
        <v>12</v>
      </c>
      <c r="AA19" s="3">
        <f t="shared" si="13"/>
        <v>29</v>
      </c>
      <c r="AB19" s="3">
        <f t="shared" si="13"/>
        <v>24</v>
      </c>
      <c r="AC19" s="3">
        <f t="shared" si="13"/>
        <v>21</v>
      </c>
      <c r="AD19" s="3">
        <f t="shared" si="13"/>
        <v>42</v>
      </c>
      <c r="AE19" s="3">
        <f t="shared" si="13"/>
        <v>43</v>
      </c>
      <c r="AF19" s="3">
        <f t="shared" si="13"/>
        <v>31</v>
      </c>
      <c r="AG19" s="3">
        <f t="shared" si="13"/>
        <v>33</v>
      </c>
      <c r="AH19" s="3">
        <f t="shared" si="13"/>
        <v>30</v>
      </c>
      <c r="AI19" s="3">
        <f t="shared" si="13"/>
        <v>18</v>
      </c>
      <c r="AJ19" s="3">
        <f t="shared" si="13"/>
        <v>40</v>
      </c>
      <c r="AK19" s="3" t="s">
        <v>329</v>
      </c>
    </row>
    <row r="20" spans="1:40" x14ac:dyDescent="0.45">
      <c r="A20" s="5" t="s">
        <v>141</v>
      </c>
      <c r="B20" s="1" t="s">
        <v>17</v>
      </c>
      <c r="C20" s="1" t="s">
        <v>335</v>
      </c>
      <c r="F20" s="3">
        <f t="shared" ref="F20:F31" si="14">F2</f>
        <v>9</v>
      </c>
      <c r="G20" s="6">
        <v>0</v>
      </c>
      <c r="H20" s="6">
        <v>16</v>
      </c>
      <c r="I20" s="6">
        <v>7</v>
      </c>
      <c r="J20" s="6">
        <v>25</v>
      </c>
      <c r="K20" s="6">
        <v>13</v>
      </c>
      <c r="L20" s="6">
        <v>26</v>
      </c>
      <c r="M20" s="6">
        <v>13</v>
      </c>
      <c r="N20" s="6">
        <v>14</v>
      </c>
      <c r="O20" s="6">
        <v>10</v>
      </c>
      <c r="P20" s="6">
        <v>23</v>
      </c>
      <c r="Q20" s="6">
        <v>13</v>
      </c>
      <c r="R20" s="6">
        <v>18</v>
      </c>
      <c r="S20" s="6">
        <f>SUM(G20:R20)</f>
        <v>178</v>
      </c>
      <c r="X20" s="3">
        <f>X2</f>
        <v>9</v>
      </c>
      <c r="Y20" s="6">
        <v>0</v>
      </c>
      <c r="Z20" s="6">
        <v>16</v>
      </c>
      <c r="AA20" s="6">
        <v>7</v>
      </c>
      <c r="AB20" s="6">
        <v>25</v>
      </c>
      <c r="AC20" s="6">
        <v>13</v>
      </c>
      <c r="AD20" s="6">
        <v>26</v>
      </c>
      <c r="AE20" s="6">
        <v>13</v>
      </c>
      <c r="AF20" s="6">
        <v>14</v>
      </c>
      <c r="AG20" s="6">
        <v>10</v>
      </c>
      <c r="AH20" s="6">
        <v>23</v>
      </c>
      <c r="AI20" s="6">
        <v>13</v>
      </c>
      <c r="AJ20" s="6">
        <v>18</v>
      </c>
      <c r="AK20" s="6">
        <f>SUM(Y20:AJ20)</f>
        <v>178</v>
      </c>
    </row>
    <row r="21" spans="1:40" x14ac:dyDescent="0.45">
      <c r="A21" s="5" t="s">
        <v>143</v>
      </c>
      <c r="B21" s="1" t="s">
        <v>17</v>
      </c>
      <c r="C21" s="1" t="s">
        <v>336</v>
      </c>
      <c r="F21" s="3">
        <f t="shared" si="14"/>
        <v>12</v>
      </c>
      <c r="G21" s="6">
        <v>16</v>
      </c>
      <c r="H21" s="6">
        <v>0</v>
      </c>
      <c r="I21" s="6">
        <v>30</v>
      </c>
      <c r="J21" s="6">
        <v>14</v>
      </c>
      <c r="K21" s="6">
        <v>24</v>
      </c>
      <c r="L21" s="6">
        <v>29</v>
      </c>
      <c r="M21" s="6">
        <v>13</v>
      </c>
      <c r="N21" s="6">
        <v>22</v>
      </c>
      <c r="O21" s="6">
        <v>27</v>
      </c>
      <c r="P21" s="6">
        <v>22</v>
      </c>
      <c r="Q21" s="6">
        <v>13</v>
      </c>
      <c r="R21" s="6">
        <v>16</v>
      </c>
      <c r="S21" s="6">
        <f t="shared" ref="S21:S31" si="15">SUM(G21:R21)</f>
        <v>226</v>
      </c>
      <c r="X21" s="3">
        <f t="shared" ref="X21:X31" si="16">X3</f>
        <v>12</v>
      </c>
      <c r="Y21" s="6">
        <v>16</v>
      </c>
      <c r="Z21" s="6">
        <v>0</v>
      </c>
      <c r="AA21" s="6">
        <v>30</v>
      </c>
      <c r="AB21" s="6">
        <v>14</v>
      </c>
      <c r="AC21" s="6">
        <v>24</v>
      </c>
      <c r="AD21" s="6">
        <v>29</v>
      </c>
      <c r="AE21" s="6">
        <v>13</v>
      </c>
      <c r="AF21" s="6">
        <v>22</v>
      </c>
      <c r="AG21" s="6">
        <v>27</v>
      </c>
      <c r="AH21" s="6">
        <v>22</v>
      </c>
      <c r="AI21" s="6">
        <v>13</v>
      </c>
      <c r="AJ21" s="6">
        <v>16</v>
      </c>
      <c r="AK21" s="6">
        <f t="shared" ref="AK21:AK32" si="17">SUM(Y21:AJ21)</f>
        <v>226</v>
      </c>
    </row>
    <row r="22" spans="1:40" x14ac:dyDescent="0.45">
      <c r="A22" s="5" t="s">
        <v>145</v>
      </c>
      <c r="B22" s="1" t="s">
        <v>22</v>
      </c>
      <c r="C22" s="1" t="s">
        <v>320</v>
      </c>
      <c r="D22" s="15">
        <v>0.1</v>
      </c>
      <c r="F22" s="3">
        <f t="shared" si="14"/>
        <v>29</v>
      </c>
      <c r="G22" s="6">
        <v>7</v>
      </c>
      <c r="H22" s="6">
        <v>30</v>
      </c>
      <c r="I22" s="6">
        <v>0</v>
      </c>
      <c r="J22" s="6">
        <v>20</v>
      </c>
      <c r="K22" s="6">
        <v>21</v>
      </c>
      <c r="L22" s="6">
        <v>6</v>
      </c>
      <c r="M22" s="6">
        <v>15</v>
      </c>
      <c r="N22" s="6">
        <v>5</v>
      </c>
      <c r="O22" s="6">
        <v>5</v>
      </c>
      <c r="P22" s="6">
        <v>11</v>
      </c>
      <c r="Q22" s="6">
        <v>5</v>
      </c>
      <c r="R22" s="6">
        <v>26</v>
      </c>
      <c r="S22" s="6">
        <f t="shared" si="15"/>
        <v>151</v>
      </c>
      <c r="X22" s="3">
        <f t="shared" si="16"/>
        <v>29</v>
      </c>
      <c r="Y22" s="6">
        <v>7</v>
      </c>
      <c r="Z22" s="6">
        <v>30</v>
      </c>
      <c r="AA22" s="6">
        <v>0</v>
      </c>
      <c r="AB22" s="6">
        <v>20</v>
      </c>
      <c r="AC22" s="6">
        <v>21</v>
      </c>
      <c r="AD22" s="6">
        <v>6</v>
      </c>
      <c r="AE22" s="6">
        <v>15</v>
      </c>
      <c r="AF22" s="6">
        <v>5</v>
      </c>
      <c r="AG22" s="6">
        <v>5</v>
      </c>
      <c r="AH22" s="6">
        <v>11</v>
      </c>
      <c r="AI22" s="6">
        <v>5</v>
      </c>
      <c r="AJ22" s="6">
        <v>26</v>
      </c>
      <c r="AK22" s="6">
        <f t="shared" si="17"/>
        <v>151</v>
      </c>
    </row>
    <row r="23" spans="1:40" x14ac:dyDescent="0.45">
      <c r="A23" s="5" t="s">
        <v>147</v>
      </c>
      <c r="B23" s="1" t="s">
        <v>22</v>
      </c>
      <c r="C23" s="1" t="s">
        <v>321</v>
      </c>
      <c r="D23" s="15">
        <v>0.05</v>
      </c>
      <c r="F23" s="3">
        <f t="shared" si="14"/>
        <v>24</v>
      </c>
      <c r="G23" s="6">
        <v>25</v>
      </c>
      <c r="H23" s="6">
        <v>14</v>
      </c>
      <c r="I23" s="6">
        <v>20</v>
      </c>
      <c r="J23" s="6">
        <v>0</v>
      </c>
      <c r="K23" s="6">
        <v>12</v>
      </c>
      <c r="L23" s="6">
        <v>24</v>
      </c>
      <c r="M23" s="6">
        <v>15</v>
      </c>
      <c r="N23" s="6">
        <v>18</v>
      </c>
      <c r="O23" s="6">
        <v>18</v>
      </c>
      <c r="P23" s="6">
        <v>17</v>
      </c>
      <c r="Q23" s="6">
        <v>30</v>
      </c>
      <c r="R23" s="6">
        <v>24</v>
      </c>
      <c r="S23" s="6">
        <f t="shared" si="15"/>
        <v>217</v>
      </c>
      <c r="X23" s="3">
        <f t="shared" si="16"/>
        <v>24</v>
      </c>
      <c r="Y23" s="6">
        <v>25</v>
      </c>
      <c r="Z23" s="6">
        <v>14</v>
      </c>
      <c r="AA23" s="6">
        <v>20</v>
      </c>
      <c r="AB23" s="6">
        <v>0</v>
      </c>
      <c r="AC23" s="6">
        <v>12</v>
      </c>
      <c r="AD23" s="6">
        <v>24</v>
      </c>
      <c r="AE23" s="6">
        <v>15</v>
      </c>
      <c r="AF23" s="6">
        <v>18</v>
      </c>
      <c r="AG23" s="6">
        <v>18</v>
      </c>
      <c r="AH23" s="6">
        <v>17</v>
      </c>
      <c r="AI23" s="6">
        <v>30</v>
      </c>
      <c r="AJ23" s="6">
        <v>24</v>
      </c>
      <c r="AK23" s="6">
        <f t="shared" si="17"/>
        <v>217</v>
      </c>
    </row>
    <row r="24" spans="1:40" x14ac:dyDescent="0.45">
      <c r="A24" s="5" t="s">
        <v>149</v>
      </c>
      <c r="B24" s="1" t="s">
        <v>22</v>
      </c>
      <c r="C24" s="1" t="s">
        <v>322</v>
      </c>
      <c r="D24" s="15">
        <v>0.2</v>
      </c>
      <c r="F24" s="3">
        <f t="shared" si="14"/>
        <v>21</v>
      </c>
      <c r="G24" s="6">
        <v>13</v>
      </c>
      <c r="H24" s="6">
        <v>24</v>
      </c>
      <c r="I24" s="6">
        <v>21</v>
      </c>
      <c r="J24" s="6">
        <v>12</v>
      </c>
      <c r="K24" s="6">
        <v>0</v>
      </c>
      <c r="L24" s="6">
        <v>12</v>
      </c>
      <c r="M24" s="6">
        <v>9</v>
      </c>
      <c r="N24" s="6">
        <v>26</v>
      </c>
      <c r="O24" s="6">
        <v>20</v>
      </c>
      <c r="P24" s="6">
        <v>5</v>
      </c>
      <c r="Q24" s="6">
        <v>30</v>
      </c>
      <c r="R24" s="6">
        <v>27</v>
      </c>
      <c r="S24" s="6">
        <f t="shared" si="15"/>
        <v>199</v>
      </c>
      <c r="X24" s="3">
        <f t="shared" si="16"/>
        <v>21</v>
      </c>
      <c r="Y24" s="6">
        <v>13</v>
      </c>
      <c r="Z24" s="6">
        <v>24</v>
      </c>
      <c r="AA24" s="6">
        <v>21</v>
      </c>
      <c r="AB24" s="6">
        <v>12</v>
      </c>
      <c r="AC24" s="6">
        <v>0</v>
      </c>
      <c r="AD24" s="6">
        <v>12</v>
      </c>
      <c r="AE24" s="6">
        <v>9</v>
      </c>
      <c r="AF24" s="6">
        <v>26</v>
      </c>
      <c r="AG24" s="6">
        <v>20</v>
      </c>
      <c r="AH24" s="6">
        <v>5</v>
      </c>
      <c r="AI24" s="6">
        <v>30</v>
      </c>
      <c r="AJ24" s="6">
        <v>27</v>
      </c>
      <c r="AK24" s="6">
        <f t="shared" si="17"/>
        <v>199</v>
      </c>
    </row>
    <row r="25" spans="1:40" x14ac:dyDescent="0.45">
      <c r="A25" s="5" t="s">
        <v>151</v>
      </c>
      <c r="B25" s="1" t="s">
        <v>22</v>
      </c>
      <c r="C25" s="1" t="s">
        <v>323</v>
      </c>
      <c r="D25" s="15">
        <v>7.0000000000000007E-2</v>
      </c>
      <c r="F25" s="3">
        <f t="shared" si="14"/>
        <v>42</v>
      </c>
      <c r="G25" s="6">
        <v>26</v>
      </c>
      <c r="H25" s="6">
        <v>29</v>
      </c>
      <c r="I25" s="6">
        <v>6</v>
      </c>
      <c r="J25" s="6">
        <v>24</v>
      </c>
      <c r="K25" s="6">
        <v>12</v>
      </c>
      <c r="L25" s="6">
        <v>0</v>
      </c>
      <c r="M25" s="6">
        <v>30</v>
      </c>
      <c r="N25" s="6">
        <v>28</v>
      </c>
      <c r="O25" s="6">
        <v>20</v>
      </c>
      <c r="P25" s="6">
        <v>11</v>
      </c>
      <c r="Q25" s="6">
        <v>16</v>
      </c>
      <c r="R25" s="6">
        <v>28</v>
      </c>
      <c r="S25" s="6">
        <f t="shared" si="15"/>
        <v>230</v>
      </c>
      <c r="X25" s="3">
        <f t="shared" si="16"/>
        <v>42</v>
      </c>
      <c r="Y25" s="6">
        <v>26</v>
      </c>
      <c r="Z25" s="6">
        <v>29</v>
      </c>
      <c r="AA25" s="6">
        <v>6</v>
      </c>
      <c r="AB25" s="6">
        <v>24</v>
      </c>
      <c r="AC25" s="6">
        <v>12</v>
      </c>
      <c r="AD25" s="6">
        <v>0</v>
      </c>
      <c r="AE25" s="6">
        <v>30</v>
      </c>
      <c r="AF25" s="6">
        <v>28</v>
      </c>
      <c r="AG25" s="6">
        <v>20</v>
      </c>
      <c r="AH25" s="6">
        <v>11</v>
      </c>
      <c r="AI25" s="6">
        <v>16</v>
      </c>
      <c r="AJ25" s="6">
        <v>28</v>
      </c>
      <c r="AK25" s="6">
        <f t="shared" si="17"/>
        <v>230</v>
      </c>
    </row>
    <row r="26" spans="1:40" x14ac:dyDescent="0.45">
      <c r="A26" s="5" t="s">
        <v>153</v>
      </c>
      <c r="B26" s="1" t="s">
        <v>326</v>
      </c>
      <c r="C26" s="1" t="s">
        <v>327</v>
      </c>
      <c r="D26" s="1">
        <v>30</v>
      </c>
      <c r="F26" s="3">
        <f t="shared" si="14"/>
        <v>43</v>
      </c>
      <c r="G26" s="6">
        <v>13</v>
      </c>
      <c r="H26" s="6">
        <v>13</v>
      </c>
      <c r="I26" s="6">
        <v>15</v>
      </c>
      <c r="J26" s="6">
        <v>15</v>
      </c>
      <c r="K26" s="6">
        <v>9</v>
      </c>
      <c r="L26" s="6">
        <v>30</v>
      </c>
      <c r="M26" s="6">
        <v>0</v>
      </c>
      <c r="N26" s="6">
        <v>5</v>
      </c>
      <c r="O26" s="6">
        <v>25</v>
      </c>
      <c r="P26" s="6">
        <v>26</v>
      </c>
      <c r="Q26" s="6">
        <v>7</v>
      </c>
      <c r="R26" s="6">
        <v>17</v>
      </c>
      <c r="S26" s="6">
        <f t="shared" si="15"/>
        <v>175</v>
      </c>
      <c r="X26" s="3">
        <f t="shared" si="16"/>
        <v>43</v>
      </c>
      <c r="Y26" s="6">
        <v>13</v>
      </c>
      <c r="Z26" s="6">
        <v>13</v>
      </c>
      <c r="AA26" s="6">
        <v>15</v>
      </c>
      <c r="AB26" s="6">
        <v>15</v>
      </c>
      <c r="AC26" s="6">
        <v>9</v>
      </c>
      <c r="AD26" s="6">
        <v>30</v>
      </c>
      <c r="AE26" s="6">
        <v>0</v>
      </c>
      <c r="AF26" s="6">
        <v>5</v>
      </c>
      <c r="AG26" s="6">
        <v>25</v>
      </c>
      <c r="AH26" s="6">
        <v>26</v>
      </c>
      <c r="AI26" s="6">
        <v>7</v>
      </c>
      <c r="AJ26" s="6">
        <v>17</v>
      </c>
      <c r="AK26" s="6">
        <f t="shared" si="17"/>
        <v>175</v>
      </c>
    </row>
    <row r="27" spans="1:40" x14ac:dyDescent="0.45">
      <c r="A27" s="5" t="s">
        <v>155</v>
      </c>
      <c r="B27" s="1" t="s">
        <v>326</v>
      </c>
      <c r="C27" s="1" t="s">
        <v>328</v>
      </c>
      <c r="D27" s="1">
        <v>5</v>
      </c>
      <c r="F27" s="3">
        <f t="shared" si="14"/>
        <v>31</v>
      </c>
      <c r="G27" s="6">
        <v>14</v>
      </c>
      <c r="H27" s="6">
        <v>22</v>
      </c>
      <c r="I27" s="6">
        <v>5</v>
      </c>
      <c r="J27" s="6">
        <v>18</v>
      </c>
      <c r="K27" s="6">
        <v>26</v>
      </c>
      <c r="L27" s="6">
        <v>28</v>
      </c>
      <c r="M27" s="6">
        <v>5</v>
      </c>
      <c r="N27" s="6">
        <v>0</v>
      </c>
      <c r="O27" s="6">
        <v>16</v>
      </c>
      <c r="P27" s="6">
        <v>11</v>
      </c>
      <c r="Q27" s="6">
        <v>7</v>
      </c>
      <c r="R27" s="6">
        <v>8</v>
      </c>
      <c r="S27" s="6">
        <f t="shared" si="15"/>
        <v>160</v>
      </c>
      <c r="X27" s="3">
        <f t="shared" si="16"/>
        <v>31</v>
      </c>
      <c r="Y27" s="6">
        <v>14</v>
      </c>
      <c r="Z27" s="6">
        <v>22</v>
      </c>
      <c r="AA27" s="6">
        <v>5</v>
      </c>
      <c r="AB27" s="6">
        <v>18</v>
      </c>
      <c r="AC27" s="6">
        <v>26</v>
      </c>
      <c r="AD27" s="6">
        <v>28</v>
      </c>
      <c r="AE27" s="6">
        <v>5</v>
      </c>
      <c r="AF27" s="6">
        <v>0</v>
      </c>
      <c r="AG27" s="6">
        <v>16</v>
      </c>
      <c r="AH27" s="6">
        <v>11</v>
      </c>
      <c r="AI27" s="6">
        <v>7</v>
      </c>
      <c r="AJ27" s="6">
        <v>8</v>
      </c>
      <c r="AK27" s="6">
        <f t="shared" si="17"/>
        <v>160</v>
      </c>
    </row>
    <row r="28" spans="1:40" x14ac:dyDescent="0.45">
      <c r="F28" s="3">
        <f t="shared" si="14"/>
        <v>33</v>
      </c>
      <c r="G28" s="6">
        <v>10</v>
      </c>
      <c r="H28" s="6">
        <v>27</v>
      </c>
      <c r="I28" s="6">
        <v>5</v>
      </c>
      <c r="J28" s="6">
        <v>18</v>
      </c>
      <c r="K28" s="6">
        <v>20</v>
      </c>
      <c r="L28" s="6">
        <v>20</v>
      </c>
      <c r="M28" s="6">
        <v>25</v>
      </c>
      <c r="N28" s="6">
        <v>16</v>
      </c>
      <c r="O28" s="6">
        <v>0</v>
      </c>
      <c r="P28" s="6">
        <v>27</v>
      </c>
      <c r="Q28" s="6">
        <v>10</v>
      </c>
      <c r="R28" s="6">
        <v>19</v>
      </c>
      <c r="S28" s="6">
        <f t="shared" si="15"/>
        <v>197</v>
      </c>
      <c r="X28" s="3">
        <f t="shared" si="16"/>
        <v>33</v>
      </c>
      <c r="Y28" s="6">
        <v>10</v>
      </c>
      <c r="Z28" s="6">
        <v>27</v>
      </c>
      <c r="AA28" s="6">
        <v>5</v>
      </c>
      <c r="AB28" s="6">
        <v>18</v>
      </c>
      <c r="AC28" s="6">
        <v>20</v>
      </c>
      <c r="AD28" s="6">
        <v>20</v>
      </c>
      <c r="AE28" s="6">
        <v>25</v>
      </c>
      <c r="AF28" s="6">
        <v>16</v>
      </c>
      <c r="AG28" s="6">
        <v>0</v>
      </c>
      <c r="AH28" s="6">
        <v>27</v>
      </c>
      <c r="AI28" s="6">
        <v>10</v>
      </c>
      <c r="AJ28" s="6">
        <v>19</v>
      </c>
      <c r="AK28" s="6">
        <f t="shared" si="17"/>
        <v>197</v>
      </c>
    </row>
    <row r="29" spans="1:40" x14ac:dyDescent="0.45">
      <c r="F29" s="3">
        <f t="shared" si="14"/>
        <v>30</v>
      </c>
      <c r="G29" s="6">
        <v>23</v>
      </c>
      <c r="H29" s="6">
        <v>22</v>
      </c>
      <c r="I29" s="6">
        <v>11</v>
      </c>
      <c r="J29" s="6">
        <v>17</v>
      </c>
      <c r="K29" s="6">
        <v>5</v>
      </c>
      <c r="L29" s="6">
        <v>11</v>
      </c>
      <c r="M29" s="6">
        <v>26</v>
      </c>
      <c r="N29" s="6">
        <v>11</v>
      </c>
      <c r="O29" s="6">
        <v>27</v>
      </c>
      <c r="P29" s="6">
        <v>0</v>
      </c>
      <c r="Q29" s="6">
        <v>11</v>
      </c>
      <c r="R29" s="6">
        <v>12</v>
      </c>
      <c r="S29" s="6">
        <f t="shared" si="15"/>
        <v>176</v>
      </c>
      <c r="X29" s="3">
        <f t="shared" si="16"/>
        <v>30</v>
      </c>
      <c r="Y29" s="6">
        <v>23</v>
      </c>
      <c r="Z29" s="6">
        <v>22</v>
      </c>
      <c r="AA29" s="6">
        <v>11</v>
      </c>
      <c r="AB29" s="6">
        <v>17</v>
      </c>
      <c r="AC29" s="6">
        <v>5</v>
      </c>
      <c r="AD29" s="6">
        <v>11</v>
      </c>
      <c r="AE29" s="6">
        <v>26</v>
      </c>
      <c r="AF29" s="6">
        <v>11</v>
      </c>
      <c r="AG29" s="6">
        <v>27</v>
      </c>
      <c r="AH29" s="6">
        <v>0</v>
      </c>
      <c r="AI29" s="6">
        <v>11</v>
      </c>
      <c r="AJ29" s="6">
        <v>12</v>
      </c>
      <c r="AK29" s="6">
        <f t="shared" si="17"/>
        <v>176</v>
      </c>
    </row>
    <row r="30" spans="1:40" x14ac:dyDescent="0.45">
      <c r="F30" s="3">
        <f t="shared" si="14"/>
        <v>18</v>
      </c>
      <c r="G30" s="6">
        <v>13</v>
      </c>
      <c r="H30" s="6">
        <v>13</v>
      </c>
      <c r="I30" s="6">
        <v>5</v>
      </c>
      <c r="J30" s="6">
        <v>30</v>
      </c>
      <c r="K30" s="6">
        <v>30</v>
      </c>
      <c r="L30" s="6">
        <v>16</v>
      </c>
      <c r="M30" s="6">
        <v>7</v>
      </c>
      <c r="N30" s="6">
        <v>7</v>
      </c>
      <c r="O30" s="6">
        <v>10</v>
      </c>
      <c r="P30" s="6">
        <v>11</v>
      </c>
      <c r="Q30" s="6">
        <v>0</v>
      </c>
      <c r="R30" s="6">
        <v>14</v>
      </c>
      <c r="S30" s="6">
        <f t="shared" si="15"/>
        <v>156</v>
      </c>
      <c r="X30" s="3">
        <f t="shared" si="16"/>
        <v>18</v>
      </c>
      <c r="Y30" s="6">
        <v>13</v>
      </c>
      <c r="Z30" s="6">
        <v>13</v>
      </c>
      <c r="AA30" s="6">
        <v>5</v>
      </c>
      <c r="AB30" s="6">
        <v>30</v>
      </c>
      <c r="AC30" s="6">
        <v>30</v>
      </c>
      <c r="AD30" s="6">
        <v>16</v>
      </c>
      <c r="AE30" s="6">
        <v>7</v>
      </c>
      <c r="AF30" s="6">
        <v>7</v>
      </c>
      <c r="AG30" s="6">
        <v>10</v>
      </c>
      <c r="AH30" s="6">
        <v>11</v>
      </c>
      <c r="AI30" s="6">
        <v>0</v>
      </c>
      <c r="AJ30" s="6">
        <v>14</v>
      </c>
      <c r="AK30" s="6">
        <f t="shared" si="17"/>
        <v>156</v>
      </c>
    </row>
    <row r="31" spans="1:40" x14ac:dyDescent="0.45">
      <c r="F31" s="3">
        <f t="shared" si="14"/>
        <v>40</v>
      </c>
      <c r="G31" s="6">
        <v>18</v>
      </c>
      <c r="H31" s="6">
        <v>16</v>
      </c>
      <c r="I31" s="6">
        <v>26</v>
      </c>
      <c r="J31" s="6">
        <v>24</v>
      </c>
      <c r="K31" s="6">
        <v>27</v>
      </c>
      <c r="L31" s="6">
        <v>28</v>
      </c>
      <c r="M31" s="6">
        <v>17</v>
      </c>
      <c r="N31" s="6">
        <v>8</v>
      </c>
      <c r="O31" s="6">
        <v>19</v>
      </c>
      <c r="P31" s="6">
        <v>12</v>
      </c>
      <c r="Q31" s="6">
        <v>14</v>
      </c>
      <c r="R31" s="6">
        <v>0</v>
      </c>
      <c r="S31" s="6">
        <f t="shared" si="15"/>
        <v>209</v>
      </c>
      <c r="X31" s="3">
        <f t="shared" si="16"/>
        <v>40</v>
      </c>
      <c r="Y31" s="6">
        <v>18</v>
      </c>
      <c r="Z31" s="6">
        <v>16</v>
      </c>
      <c r="AA31" s="6">
        <v>26</v>
      </c>
      <c r="AB31" s="6">
        <v>24</v>
      </c>
      <c r="AC31" s="6">
        <v>27</v>
      </c>
      <c r="AD31" s="6">
        <v>28</v>
      </c>
      <c r="AE31" s="6">
        <v>17</v>
      </c>
      <c r="AF31" s="6">
        <v>8</v>
      </c>
      <c r="AG31" s="6">
        <v>19</v>
      </c>
      <c r="AH31" s="6">
        <v>12</v>
      </c>
      <c r="AI31" s="6">
        <v>14</v>
      </c>
      <c r="AJ31" s="6">
        <v>0</v>
      </c>
      <c r="AK31" s="6">
        <f t="shared" si="17"/>
        <v>209</v>
      </c>
    </row>
    <row r="32" spans="1:40" x14ac:dyDescent="0.45">
      <c r="F32" s="3" t="s">
        <v>329</v>
      </c>
      <c r="G32" s="6">
        <f>SUM(G20:G31)</f>
        <v>178</v>
      </c>
      <c r="H32" s="6">
        <f t="shared" ref="H32:R32" si="18">SUM(H20:H31)</f>
        <v>226</v>
      </c>
      <c r="I32" s="6">
        <f t="shared" si="18"/>
        <v>151</v>
      </c>
      <c r="J32" s="6">
        <f t="shared" si="18"/>
        <v>217</v>
      </c>
      <c r="K32" s="6">
        <f t="shared" si="18"/>
        <v>199</v>
      </c>
      <c r="L32" s="6">
        <f t="shared" si="18"/>
        <v>230</v>
      </c>
      <c r="M32" s="6">
        <f t="shared" si="18"/>
        <v>175</v>
      </c>
      <c r="N32" s="6">
        <f t="shared" si="18"/>
        <v>160</v>
      </c>
      <c r="O32" s="6">
        <f t="shared" si="18"/>
        <v>197</v>
      </c>
      <c r="P32" s="6">
        <f t="shared" si="18"/>
        <v>176</v>
      </c>
      <c r="Q32" s="6">
        <f t="shared" si="18"/>
        <v>156</v>
      </c>
      <c r="R32" s="6">
        <f t="shared" si="18"/>
        <v>209</v>
      </c>
      <c r="S32" s="6">
        <f>SUM(S20:S31)</f>
        <v>2274</v>
      </c>
      <c r="X32" s="3" t="s">
        <v>329</v>
      </c>
      <c r="Y32" s="6">
        <f>SUM(Y20:Y31)</f>
        <v>178</v>
      </c>
      <c r="Z32" s="6">
        <f t="shared" ref="Z32:AJ32" si="19">SUM(Z20:Z31)</f>
        <v>226</v>
      </c>
      <c r="AA32" s="6">
        <f t="shared" si="19"/>
        <v>151</v>
      </c>
      <c r="AB32" s="6">
        <f t="shared" si="19"/>
        <v>217</v>
      </c>
      <c r="AC32" s="6">
        <f t="shared" si="19"/>
        <v>199</v>
      </c>
      <c r="AD32" s="6">
        <f t="shared" si="19"/>
        <v>230</v>
      </c>
      <c r="AE32" s="6">
        <f t="shared" si="19"/>
        <v>175</v>
      </c>
      <c r="AF32" s="6">
        <f t="shared" si="19"/>
        <v>160</v>
      </c>
      <c r="AG32" s="6">
        <f t="shared" si="19"/>
        <v>197</v>
      </c>
      <c r="AH32" s="6">
        <f t="shared" si="19"/>
        <v>176</v>
      </c>
      <c r="AI32" s="6">
        <f t="shared" si="19"/>
        <v>156</v>
      </c>
      <c r="AJ32" s="6">
        <f t="shared" si="19"/>
        <v>209</v>
      </c>
      <c r="AK32" s="6">
        <f t="shared" si="17"/>
        <v>2274</v>
      </c>
    </row>
    <row r="35" spans="6:27" x14ac:dyDescent="0.45">
      <c r="F35" s="3" t="s">
        <v>337</v>
      </c>
      <c r="G35" s="3" t="s">
        <v>338</v>
      </c>
      <c r="H35" s="3" t="s">
        <v>339</v>
      </c>
      <c r="I35" s="3" t="s">
        <v>340</v>
      </c>
      <c r="X35" s="3" t="s">
        <v>337</v>
      </c>
      <c r="Y35" s="3" t="s">
        <v>338</v>
      </c>
      <c r="Z35" s="3" t="s">
        <v>339</v>
      </c>
      <c r="AA35" s="3" t="s">
        <v>340</v>
      </c>
    </row>
    <row r="36" spans="6:27" x14ac:dyDescent="0.45">
      <c r="F36" s="1">
        <v>0</v>
      </c>
      <c r="G36" s="1">
        <v>3</v>
      </c>
      <c r="H36" s="7">
        <f t="shared" ref="H36:H50" si="20">SUMIFS($G$2:$R$13,$G$20:$R$31,"&gt;="&amp;F36,$G$20:$R$31,"&lt;"&amp;G36)</f>
        <v>0</v>
      </c>
      <c r="I36" s="15">
        <f t="shared" ref="I36:I50" si="21">H36/$H$57*100</f>
        <v>0</v>
      </c>
      <c r="X36" s="1">
        <v>0</v>
      </c>
      <c r="Y36" s="1">
        <v>3</v>
      </c>
      <c r="Z36" s="7">
        <f t="shared" ref="Z36:Z56" si="22">SUMIFS($Y$2:$AJ$13,$Y$20:$AJ$31,"&gt;="&amp;X36,$Y$20:$AJ$31,"&lt;"&amp;Y36)</f>
        <v>0</v>
      </c>
      <c r="AA36" s="15">
        <f>Z36/$Z$57*100</f>
        <v>0</v>
      </c>
    </row>
    <row r="37" spans="6:27" x14ac:dyDescent="0.45">
      <c r="F37" s="1">
        <v>3</v>
      </c>
      <c r="G37" s="1">
        <v>6</v>
      </c>
      <c r="H37" s="7">
        <f t="shared" si="20"/>
        <v>73961.990454673345</v>
      </c>
      <c r="I37" s="15">
        <f t="shared" si="21"/>
        <v>13.31738335488437</v>
      </c>
      <c r="X37" s="1">
        <v>3</v>
      </c>
      <c r="Y37" s="1">
        <v>6</v>
      </c>
      <c r="Z37" s="7">
        <f t="shared" si="22"/>
        <v>86887.549781002614</v>
      </c>
      <c r="AA37" s="15">
        <f t="shared" ref="AA37:AA56" si="23">Z37/$Z$57*100</f>
        <v>15.780226011210216</v>
      </c>
    </row>
    <row r="38" spans="6:27" x14ac:dyDescent="0.45">
      <c r="F38" s="1">
        <v>6</v>
      </c>
      <c r="G38" s="1">
        <v>9</v>
      </c>
      <c r="H38" s="7">
        <f t="shared" si="20"/>
        <v>58705.916310701978</v>
      </c>
      <c r="I38" s="15">
        <f t="shared" si="21"/>
        <v>10.570418506901854</v>
      </c>
      <c r="X38" s="1">
        <v>6</v>
      </c>
      <c r="Y38" s="1">
        <v>9</v>
      </c>
      <c r="Z38" s="7">
        <f t="shared" si="22"/>
        <v>63505.396198774462</v>
      </c>
      <c r="AA38" s="15">
        <f t="shared" si="23"/>
        <v>11.533637528897382</v>
      </c>
    </row>
    <row r="39" spans="6:27" x14ac:dyDescent="0.45">
      <c r="F39" s="1">
        <v>9</v>
      </c>
      <c r="G39" s="1">
        <v>12</v>
      </c>
      <c r="H39" s="7">
        <f t="shared" si="20"/>
        <v>76581.230555404662</v>
      </c>
      <c r="I39" s="15">
        <f t="shared" si="21"/>
        <v>13.78899619690627</v>
      </c>
      <c r="X39" s="1">
        <v>9</v>
      </c>
      <c r="Y39" s="1">
        <v>12</v>
      </c>
      <c r="Z39" s="7">
        <f t="shared" si="22"/>
        <v>81042.779719150392</v>
      </c>
      <c r="AA39" s="15">
        <f t="shared" si="23"/>
        <v>14.718718432828151</v>
      </c>
    </row>
    <row r="40" spans="6:27" x14ac:dyDescent="0.45">
      <c r="F40" s="1">
        <v>12</v>
      </c>
      <c r="G40" s="1">
        <v>15</v>
      </c>
      <c r="H40" s="7">
        <f t="shared" si="20"/>
        <v>111483.66113078636</v>
      </c>
      <c r="I40" s="15">
        <f t="shared" si="21"/>
        <v>20.073427499149922</v>
      </c>
      <c r="X40" s="1">
        <v>12</v>
      </c>
      <c r="Y40" s="1">
        <v>15</v>
      </c>
      <c r="Z40" s="7">
        <f t="shared" si="22"/>
        <v>120539.06926745929</v>
      </c>
      <c r="AA40" s="15">
        <f t="shared" si="23"/>
        <v>21.891902361336008</v>
      </c>
    </row>
    <row r="41" spans="6:27" x14ac:dyDescent="0.45">
      <c r="F41" s="1">
        <v>15</v>
      </c>
      <c r="G41" s="1">
        <v>18</v>
      </c>
      <c r="H41" s="7">
        <f t="shared" si="20"/>
        <v>82094.649775438389</v>
      </c>
      <c r="I41" s="15">
        <f t="shared" si="21"/>
        <v>14.781726610163249</v>
      </c>
      <c r="X41" s="1">
        <v>15</v>
      </c>
      <c r="Y41" s="1">
        <v>18</v>
      </c>
      <c r="Z41" s="7">
        <f t="shared" si="22"/>
        <v>76964.348500337161</v>
      </c>
      <c r="AA41" s="15">
        <f t="shared" si="23"/>
        <v>13.978007403845725</v>
      </c>
    </row>
    <row r="42" spans="6:27" x14ac:dyDescent="0.45">
      <c r="F42" s="1">
        <v>18</v>
      </c>
      <c r="G42" s="1">
        <v>21</v>
      </c>
      <c r="H42" s="7">
        <f t="shared" si="20"/>
        <v>38786.397553738221</v>
      </c>
      <c r="I42" s="15">
        <f t="shared" si="21"/>
        <v>6.9837672296641635</v>
      </c>
      <c r="X42" s="1">
        <v>18</v>
      </c>
      <c r="Y42" s="1">
        <v>21</v>
      </c>
      <c r="Z42" s="7">
        <f t="shared" si="22"/>
        <v>33966.079296006756</v>
      </c>
      <c r="AA42" s="15">
        <f t="shared" si="23"/>
        <v>6.1688056500226667</v>
      </c>
    </row>
    <row r="43" spans="6:27" x14ac:dyDescent="0.45">
      <c r="F43" s="1">
        <v>21</v>
      </c>
      <c r="G43" s="1">
        <v>24</v>
      </c>
      <c r="H43" s="7">
        <f t="shared" si="20"/>
        <v>26375.663990571629</v>
      </c>
      <c r="I43" s="15">
        <f t="shared" si="21"/>
        <v>4.7491262260893823</v>
      </c>
      <c r="X43" s="1">
        <v>21</v>
      </c>
      <c r="Y43" s="1">
        <v>24</v>
      </c>
      <c r="Z43" s="7">
        <f t="shared" si="22"/>
        <v>22806.068556357637</v>
      </c>
      <c r="AA43" s="15">
        <f t="shared" si="23"/>
        <v>4.1419618478545779</v>
      </c>
    </row>
    <row r="44" spans="6:27" x14ac:dyDescent="0.45">
      <c r="F44" s="1">
        <v>24</v>
      </c>
      <c r="G44" s="1">
        <v>27</v>
      </c>
      <c r="H44" s="7">
        <f t="shared" si="20"/>
        <v>46482.014822556746</v>
      </c>
      <c r="I44" s="15">
        <f t="shared" si="21"/>
        <v>8.369417949598903</v>
      </c>
      <c r="X44" s="1">
        <v>24</v>
      </c>
      <c r="Y44" s="1">
        <v>27</v>
      </c>
      <c r="Z44" s="7">
        <f t="shared" si="22"/>
        <v>35682.459786335763</v>
      </c>
      <c r="AA44" s="15">
        <f t="shared" si="23"/>
        <v>6.4805289305949714</v>
      </c>
    </row>
    <row r="45" spans="6:27" x14ac:dyDescent="0.45">
      <c r="F45" s="1">
        <v>27</v>
      </c>
      <c r="G45" s="1">
        <v>30</v>
      </c>
      <c r="H45" s="7">
        <f t="shared" si="20"/>
        <v>24857.763138169841</v>
      </c>
      <c r="I45" s="15">
        <f t="shared" si="21"/>
        <v>4.4758173626870574</v>
      </c>
      <c r="X45" s="1">
        <v>27</v>
      </c>
      <c r="Y45" s="1">
        <v>30</v>
      </c>
      <c r="Z45" s="7">
        <f t="shared" si="22"/>
        <v>18751.384226007045</v>
      </c>
      <c r="AA45" s="15">
        <f t="shared" si="23"/>
        <v>3.4055636492828127</v>
      </c>
    </row>
    <row r="46" spans="6:27" x14ac:dyDescent="0.45">
      <c r="F46" s="1">
        <v>30</v>
      </c>
      <c r="G46" s="1">
        <v>33</v>
      </c>
      <c r="H46" s="7">
        <f t="shared" si="20"/>
        <v>16050.012267958842</v>
      </c>
      <c r="I46" s="15">
        <f t="shared" si="21"/>
        <v>2.8899190639548218</v>
      </c>
      <c r="X46" s="1">
        <v>30</v>
      </c>
      <c r="Y46" s="1">
        <v>33</v>
      </c>
      <c r="Z46" s="7">
        <f t="shared" si="22"/>
        <v>10465.164668568836</v>
      </c>
      <c r="AA46" s="15">
        <f t="shared" si="23"/>
        <v>1.9006481841274736</v>
      </c>
    </row>
    <row r="47" spans="6:27" x14ac:dyDescent="0.45">
      <c r="F47" s="1">
        <v>33</v>
      </c>
      <c r="G47" s="1">
        <v>36</v>
      </c>
      <c r="H47" s="7">
        <f t="shared" si="20"/>
        <v>0</v>
      </c>
      <c r="I47" s="15">
        <f t="shared" si="21"/>
        <v>0</v>
      </c>
      <c r="X47" s="1">
        <v>33</v>
      </c>
      <c r="Y47" s="1">
        <v>36</v>
      </c>
      <c r="Z47" s="7">
        <f t="shared" si="22"/>
        <v>0</v>
      </c>
      <c r="AA47" s="15">
        <f t="shared" si="23"/>
        <v>0</v>
      </c>
    </row>
    <row r="48" spans="6:27" x14ac:dyDescent="0.45">
      <c r="F48" s="1">
        <v>36</v>
      </c>
      <c r="G48" s="1">
        <v>39</v>
      </c>
      <c r="H48" s="7">
        <f t="shared" si="20"/>
        <v>0</v>
      </c>
      <c r="I48" s="15">
        <f t="shared" si="21"/>
        <v>0</v>
      </c>
      <c r="X48" s="1">
        <v>36</v>
      </c>
      <c r="Y48" s="1">
        <v>39</v>
      </c>
      <c r="Z48" s="7">
        <f t="shared" si="22"/>
        <v>0</v>
      </c>
      <c r="AA48" s="15">
        <f t="shared" si="23"/>
        <v>0</v>
      </c>
    </row>
    <row r="49" spans="6:27" x14ac:dyDescent="0.45">
      <c r="F49" s="1">
        <v>39</v>
      </c>
      <c r="G49" s="1">
        <v>42</v>
      </c>
      <c r="H49" s="7">
        <f t="shared" si="20"/>
        <v>0</v>
      </c>
      <c r="I49" s="15">
        <f t="shared" si="21"/>
        <v>0</v>
      </c>
      <c r="X49" s="1">
        <v>39</v>
      </c>
      <c r="Y49" s="1">
        <v>42</v>
      </c>
      <c r="Z49" s="7">
        <f t="shared" si="22"/>
        <v>0</v>
      </c>
      <c r="AA49" s="15">
        <f t="shared" si="23"/>
        <v>0</v>
      </c>
    </row>
    <row r="50" spans="6:27" x14ac:dyDescent="0.45">
      <c r="F50" s="1">
        <v>42</v>
      </c>
      <c r="G50" s="1">
        <v>45</v>
      </c>
      <c r="H50" s="7">
        <f t="shared" si="20"/>
        <v>0</v>
      </c>
      <c r="I50" s="15">
        <f t="shared" si="21"/>
        <v>0</v>
      </c>
      <c r="X50" s="1">
        <v>42</v>
      </c>
      <c r="Y50" s="1">
        <v>45</v>
      </c>
      <c r="Z50" s="7">
        <f t="shared" si="22"/>
        <v>0</v>
      </c>
      <c r="AA50" s="15">
        <f t="shared" si="23"/>
        <v>0</v>
      </c>
    </row>
    <row r="51" spans="6:27" x14ac:dyDescent="0.45">
      <c r="F51" s="1">
        <v>45</v>
      </c>
      <c r="G51" s="1">
        <v>48</v>
      </c>
      <c r="H51" s="7">
        <v>0</v>
      </c>
      <c r="I51" s="15">
        <v>0</v>
      </c>
      <c r="X51" s="1">
        <v>45</v>
      </c>
      <c r="Y51" s="1">
        <v>48</v>
      </c>
      <c r="Z51" s="7">
        <f t="shared" si="22"/>
        <v>0</v>
      </c>
      <c r="AA51" s="15">
        <f t="shared" si="23"/>
        <v>0</v>
      </c>
    </row>
    <row r="52" spans="6:27" x14ac:dyDescent="0.45">
      <c r="F52" s="1">
        <v>48</v>
      </c>
      <c r="G52" s="1">
        <v>51</v>
      </c>
      <c r="H52" s="7">
        <f>SUMIFS($G$2:$R$13,$G$20:$R$31,"&gt;="&amp;F52,$G$20:$R$31,"&lt;"&amp;G52)</f>
        <v>0</v>
      </c>
      <c r="I52" s="15">
        <f>H52/$H$57*100</f>
        <v>0</v>
      </c>
      <c r="X52" s="1">
        <v>48</v>
      </c>
      <c r="Y52" s="1">
        <v>51</v>
      </c>
      <c r="Z52" s="7">
        <f t="shared" si="22"/>
        <v>0</v>
      </c>
      <c r="AA52" s="15">
        <f t="shared" si="23"/>
        <v>0</v>
      </c>
    </row>
    <row r="53" spans="6:27" x14ac:dyDescent="0.45">
      <c r="F53" s="1">
        <v>51</v>
      </c>
      <c r="G53" s="1">
        <v>54</v>
      </c>
      <c r="H53" s="7">
        <f>SUMIFS($G$2:$R$13,$G$20:$R$31,"&gt;="&amp;F53,$G$20:$R$31,"&lt;"&amp;G53)</f>
        <v>0</v>
      </c>
      <c r="I53" s="15">
        <f>H53/$H$57*100</f>
        <v>0</v>
      </c>
      <c r="X53" s="1">
        <v>51</v>
      </c>
      <c r="Y53" s="1">
        <v>54</v>
      </c>
      <c r="Z53" s="7">
        <f t="shared" si="22"/>
        <v>0</v>
      </c>
      <c r="AA53" s="15">
        <f t="shared" si="23"/>
        <v>0</v>
      </c>
    </row>
    <row r="54" spans="6:27" x14ac:dyDescent="0.45">
      <c r="F54" s="1">
        <v>54</v>
      </c>
      <c r="G54" s="1">
        <v>57</v>
      </c>
      <c r="H54" s="7">
        <f>SUMIFS($G$2:$R$13,$G$20:$R$31,"&gt;="&amp;F54,$G$20:$R$31,"&lt;"&amp;G54)</f>
        <v>0</v>
      </c>
      <c r="I54" s="15">
        <f>H54/$H$57*100</f>
        <v>0</v>
      </c>
      <c r="X54" s="1">
        <v>54</v>
      </c>
      <c r="Y54" s="1">
        <v>57</v>
      </c>
      <c r="Z54" s="7">
        <f t="shared" si="22"/>
        <v>0</v>
      </c>
      <c r="AA54" s="15">
        <f t="shared" si="23"/>
        <v>0</v>
      </c>
    </row>
    <row r="55" spans="6:27" x14ac:dyDescent="0.45">
      <c r="F55" s="1">
        <v>57</v>
      </c>
      <c r="G55" s="1">
        <v>60</v>
      </c>
      <c r="H55" s="7">
        <f>SUMIFS($G$2:$R$13,$G$20:$R$31,"&gt;="&amp;F55,$G$20:$R$31,"&lt;"&amp;G55)</f>
        <v>0</v>
      </c>
      <c r="I55" s="15">
        <f>H55/$H$57*100</f>
        <v>0</v>
      </c>
      <c r="X55" s="1">
        <v>57</v>
      </c>
      <c r="Y55" s="1">
        <v>60</v>
      </c>
      <c r="Z55" s="7">
        <f t="shared" si="22"/>
        <v>0</v>
      </c>
      <c r="AA55" s="15">
        <f t="shared" si="23"/>
        <v>0</v>
      </c>
    </row>
    <row r="56" spans="6:27" x14ac:dyDescent="0.45">
      <c r="F56" s="1">
        <v>60</v>
      </c>
      <c r="G56" s="1">
        <v>90</v>
      </c>
      <c r="H56" s="7">
        <f>SUMIFS($G$2:$R$13,$G$20:$R$31,"&gt;="&amp;F56,$G$20:$R$31,"&lt;"&amp;G56)</f>
        <v>0</v>
      </c>
      <c r="I56" s="15">
        <f>H56/$H$57*100</f>
        <v>0</v>
      </c>
      <c r="X56" s="1">
        <v>60</v>
      </c>
      <c r="Y56" s="1">
        <v>90</v>
      </c>
      <c r="Z56" s="7">
        <f t="shared" si="22"/>
        <v>0</v>
      </c>
      <c r="AA56" s="15">
        <f t="shared" si="23"/>
        <v>0</v>
      </c>
    </row>
    <row r="57" spans="6:27" x14ac:dyDescent="0.45">
      <c r="H57" s="7">
        <f>SUM(H36:H56)</f>
        <v>555379.30000000005</v>
      </c>
      <c r="I57" s="15">
        <f>SUM(I36:I56)</f>
        <v>99.999999999999986</v>
      </c>
      <c r="Z57" s="7">
        <f>SUM(Z36:Z56)</f>
        <v>550610.30000000005</v>
      </c>
      <c r="AA57" s="15">
        <f>SUM(AA36:AA56)</f>
        <v>99.999999999999972</v>
      </c>
    </row>
    <row r="82" spans="7:22" x14ac:dyDescent="0.45">
      <c r="G82" s="1">
        <v>0</v>
      </c>
      <c r="H82" s="1">
        <v>0</v>
      </c>
      <c r="V82" s="1">
        <v>0</v>
      </c>
    </row>
    <row r="98" spans="7:22" x14ac:dyDescent="0.45">
      <c r="G98" s="1">
        <v>0</v>
      </c>
      <c r="V98" s="1">
        <v>0</v>
      </c>
    </row>
    <row r="114" spans="7:22" x14ac:dyDescent="0.45">
      <c r="G114" s="1">
        <v>0</v>
      </c>
      <c r="V114" s="1">
        <v>0</v>
      </c>
    </row>
    <row r="130" spans="7:22" x14ac:dyDescent="0.45">
      <c r="G130" s="1">
        <v>0</v>
      </c>
      <c r="V130" s="1">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SBalanceDist">
                <anchor moveWithCells="1" sizeWithCells="1">
                  <from>
                    <xdr:col>0</xdr:col>
                    <xdr:colOff>0</xdr:colOff>
                    <xdr:row>37</xdr:row>
                    <xdr:rowOff>0</xdr:rowOff>
                  </from>
                  <to>
                    <xdr:col>3</xdr:col>
                    <xdr:colOff>381000</xdr:colOff>
                    <xdr:row>39</xdr:row>
                    <xdr:rowOff>142875</xdr:rowOff>
                  </to>
                </anchor>
              </controlPr>
            </control>
          </mc:Choice>
        </mc:AlternateContent>
        <mc:AlternateContent xmlns:mc="http://schemas.openxmlformats.org/markup-compatibility/2006">
          <mc:Choice Requires="x14">
            <control shapeId="4098" r:id="rId4" name="Button 2">
              <controlPr defaultSize="0" print="0" autoFill="0" autoPict="0" macro="[0]!SClearDist">
                <anchor moveWithCells="1" sizeWithCells="1">
                  <from>
                    <xdr:col>0</xdr:col>
                    <xdr:colOff>0</xdr:colOff>
                    <xdr:row>29</xdr:row>
                    <xdr:rowOff>0</xdr:rowOff>
                  </from>
                  <to>
                    <xdr:col>3</xdr:col>
                    <xdr:colOff>381000</xdr:colOff>
                    <xdr:row>31</xdr:row>
                    <xdr:rowOff>133350</xdr:rowOff>
                  </to>
                </anchor>
              </controlPr>
            </control>
          </mc:Choice>
        </mc:AlternateContent>
        <mc:AlternateContent xmlns:mc="http://schemas.openxmlformats.org/markup-compatibility/2006">
          <mc:Choice Requires="x14">
            <control shapeId="4099" r:id="rId5" name="Button 3">
              <controlPr defaultSize="0" print="0" autoFill="0" autoPict="0" macro="[0]!SRandomDist">
                <anchor moveWithCells="1" sizeWithCells="1">
                  <from>
                    <xdr:col>0</xdr:col>
                    <xdr:colOff>0</xdr:colOff>
                    <xdr:row>32</xdr:row>
                    <xdr:rowOff>171450</xdr:rowOff>
                  </from>
                  <to>
                    <xdr:col>3</xdr:col>
                    <xdr:colOff>381000</xdr:colOff>
                    <xdr:row>35</xdr:row>
                    <xdr:rowOff>166688</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8812C0-3C56-45EF-B020-D806C3079895}">
  <sheetPr codeName="Mods"/>
  <dimension ref="A1:AH142"/>
  <sheetViews>
    <sheetView zoomScale="60" zoomScaleNormal="60" workbookViewId="0">
      <selection activeCell="T24" sqref="T24"/>
    </sheetView>
  </sheetViews>
  <sheetFormatPr defaultColWidth="8.73046875" defaultRowHeight="14.25" x14ac:dyDescent="0.45"/>
  <cols>
    <col min="1" max="1" width="11.796875" style="1" customWidth="1"/>
    <col min="2" max="2" width="10.33203125" style="1" bestFit="1" customWidth="1"/>
    <col min="3" max="3" width="6.9296875" style="1" bestFit="1" customWidth="1"/>
    <col min="4" max="4" width="5.73046875" style="1" bestFit="1" customWidth="1"/>
    <col min="5" max="5" width="8.73046875" style="1"/>
    <col min="6" max="6" width="9.796875" style="1" bestFit="1" customWidth="1"/>
    <col min="7" max="11" width="8" style="1" bestFit="1" customWidth="1"/>
    <col min="12" max="12" width="7" style="1" bestFit="1" customWidth="1"/>
    <col min="13" max="16" width="8" style="1" bestFit="1" customWidth="1"/>
    <col min="17" max="18" width="7" style="1" bestFit="1" customWidth="1"/>
    <col min="19" max="19" width="9" style="1" bestFit="1" customWidth="1"/>
    <col min="20" max="20" width="8.73046875" style="1"/>
    <col min="21" max="21" width="9.796875" style="1" bestFit="1" customWidth="1"/>
    <col min="22" max="26" width="8" style="1" bestFit="1" customWidth="1"/>
    <col min="27" max="27" width="7" style="1" bestFit="1" customWidth="1"/>
    <col min="28" max="31" width="8" style="1" bestFit="1" customWidth="1"/>
    <col min="32" max="33" width="7" style="1" bestFit="1" customWidth="1"/>
    <col min="34" max="34" width="9" style="1" bestFit="1" customWidth="1"/>
    <col min="35" max="16384" width="8.73046875" style="1"/>
  </cols>
  <sheetData>
    <row r="1" spans="1:34" x14ac:dyDescent="0.45">
      <c r="A1" s="4" t="s">
        <v>295</v>
      </c>
      <c r="B1" s="4" t="s">
        <v>296</v>
      </c>
      <c r="C1" s="4" t="s">
        <v>297</v>
      </c>
      <c r="D1" s="4" t="s">
        <v>298</v>
      </c>
      <c r="F1" s="4" t="s">
        <v>159</v>
      </c>
      <c r="G1" s="3">
        <f t="shared" ref="G1:R1" si="0">G33</f>
        <v>9</v>
      </c>
      <c r="H1" s="3">
        <f t="shared" si="0"/>
        <v>12</v>
      </c>
      <c r="I1" s="3">
        <f t="shared" si="0"/>
        <v>29</v>
      </c>
      <c r="J1" s="3">
        <f t="shared" si="0"/>
        <v>24</v>
      </c>
      <c r="K1" s="3">
        <f t="shared" si="0"/>
        <v>21</v>
      </c>
      <c r="L1" s="3">
        <f t="shared" si="0"/>
        <v>42</v>
      </c>
      <c r="M1" s="3">
        <f t="shared" si="0"/>
        <v>43</v>
      </c>
      <c r="N1" s="3">
        <f t="shared" si="0"/>
        <v>31</v>
      </c>
      <c r="O1" s="3">
        <f t="shared" si="0"/>
        <v>33</v>
      </c>
      <c r="P1" s="3">
        <f t="shared" si="0"/>
        <v>30</v>
      </c>
      <c r="Q1" s="3">
        <f t="shared" si="0"/>
        <v>18</v>
      </c>
      <c r="R1" s="3">
        <f t="shared" si="0"/>
        <v>40</v>
      </c>
      <c r="S1" s="3" t="s">
        <v>329</v>
      </c>
      <c r="U1" s="4" t="s">
        <v>177</v>
      </c>
      <c r="V1" s="3">
        <f t="shared" ref="V1:AG1" si="1">V33</f>
        <v>9</v>
      </c>
      <c r="W1" s="3">
        <f t="shared" si="1"/>
        <v>12</v>
      </c>
      <c r="X1" s="3">
        <f t="shared" si="1"/>
        <v>29</v>
      </c>
      <c r="Y1" s="3">
        <f t="shared" si="1"/>
        <v>24</v>
      </c>
      <c r="Z1" s="3">
        <f t="shared" si="1"/>
        <v>21</v>
      </c>
      <c r="AA1" s="3">
        <f t="shared" si="1"/>
        <v>42</v>
      </c>
      <c r="AB1" s="3">
        <f t="shared" si="1"/>
        <v>43</v>
      </c>
      <c r="AC1" s="3">
        <f t="shared" si="1"/>
        <v>31</v>
      </c>
      <c r="AD1" s="3">
        <f t="shared" si="1"/>
        <v>33</v>
      </c>
      <c r="AE1" s="3">
        <f t="shared" si="1"/>
        <v>30</v>
      </c>
      <c r="AF1" s="3">
        <f t="shared" si="1"/>
        <v>18</v>
      </c>
      <c r="AG1" s="3">
        <f t="shared" si="1"/>
        <v>40</v>
      </c>
      <c r="AH1" s="3" t="s">
        <v>329</v>
      </c>
    </row>
    <row r="2" spans="1:34" x14ac:dyDescent="0.45">
      <c r="A2" s="5" t="s">
        <v>159</v>
      </c>
      <c r="B2" s="1" t="s">
        <v>17</v>
      </c>
      <c r="C2" s="1" t="s">
        <v>299</v>
      </c>
      <c r="F2" s="3">
        <f t="shared" ref="F2:F13" si="2">F34</f>
        <v>9</v>
      </c>
      <c r="G2" s="7">
        <f>(EXP(-G50)/(EXP(-G50)+EXP(-G66)))*G34</f>
        <v>0</v>
      </c>
      <c r="H2" s="7">
        <f t="shared" ref="H2:R2" si="3">(EXP(-H50)/(EXP(-H50)+EXP(-H66)))*H34</f>
        <v>2039.6106864384085</v>
      </c>
      <c r="I2" s="7">
        <f t="shared" si="3"/>
        <v>2390.5252257832344</v>
      </c>
      <c r="J2" s="7">
        <f t="shared" si="3"/>
        <v>1465.3822924799674</v>
      </c>
      <c r="K2" s="7">
        <f t="shared" si="3"/>
        <v>928.76190798669711</v>
      </c>
      <c r="L2" s="7">
        <f t="shared" si="3"/>
        <v>1061.6450570436778</v>
      </c>
      <c r="M2" s="7">
        <f t="shared" si="3"/>
        <v>2278.1351990915523</v>
      </c>
      <c r="N2" s="7">
        <f t="shared" si="3"/>
        <v>1081.9321198842943</v>
      </c>
      <c r="O2" s="7">
        <f t="shared" si="3"/>
        <v>952.31226962089659</v>
      </c>
      <c r="P2" s="7">
        <f t="shared" si="3"/>
        <v>1978.3340224116632</v>
      </c>
      <c r="Q2" s="7">
        <f t="shared" si="3"/>
        <v>566.46323916015751</v>
      </c>
      <c r="R2" s="7">
        <f t="shared" si="3"/>
        <v>1751.5570026040314</v>
      </c>
      <c r="S2" s="7">
        <f>SUM(G2:R2)</f>
        <v>16494.65902250458</v>
      </c>
      <c r="U2" s="3">
        <f t="shared" ref="U2:U13" si="4">U34</f>
        <v>9</v>
      </c>
      <c r="V2" s="7">
        <f>(EXP(-V50)/(EXP(-V50)+EXP(-V66)))*V34</f>
        <v>0</v>
      </c>
      <c r="W2" s="7">
        <f t="shared" ref="W2:AG2" si="5">(EXP(-W50)/(EXP(-W50)+EXP(-W66)))*W34</f>
        <v>3464.8452845241768</v>
      </c>
      <c r="X2" s="7">
        <f t="shared" si="5"/>
        <v>3909.035354404843</v>
      </c>
      <c r="Y2" s="7">
        <f t="shared" si="5"/>
        <v>1369.5350241166602</v>
      </c>
      <c r="Z2" s="7">
        <f t="shared" si="5"/>
        <v>1949.4815804746311</v>
      </c>
      <c r="AA2" s="7">
        <f t="shared" si="5"/>
        <v>945.97648328166827</v>
      </c>
      <c r="AB2" s="7">
        <f t="shared" si="5"/>
        <v>3899.1628955809256</v>
      </c>
      <c r="AC2" s="7">
        <f t="shared" si="5"/>
        <v>1764.639207349868</v>
      </c>
      <c r="AD2" s="7">
        <f t="shared" si="5"/>
        <v>2029.0730162965795</v>
      </c>
      <c r="AE2" s="7">
        <f t="shared" si="5"/>
        <v>1792.87657475316</v>
      </c>
      <c r="AF2" s="7">
        <f t="shared" si="5"/>
        <v>1142.2356583165404</v>
      </c>
      <c r="AG2" s="7">
        <f t="shared" si="5"/>
        <v>2094.2402059884062</v>
      </c>
      <c r="AH2" s="7">
        <f>SUM(V2:AG2)</f>
        <v>24361.101285087461</v>
      </c>
    </row>
    <row r="3" spans="1:34" x14ac:dyDescent="0.45">
      <c r="A3" s="5" t="s">
        <v>161</v>
      </c>
      <c r="B3" s="1" t="s">
        <v>17</v>
      </c>
      <c r="C3" s="1" t="s">
        <v>300</v>
      </c>
      <c r="F3" s="3">
        <f t="shared" si="2"/>
        <v>12</v>
      </c>
      <c r="G3" s="7">
        <f t="shared" ref="G3:R13" si="6">(EXP(-G51)/(EXP(-G51)+EXP(-G67)))*G35</f>
        <v>2034.4619156788708</v>
      </c>
      <c r="H3" s="7">
        <f t="shared" si="6"/>
        <v>0</v>
      </c>
      <c r="I3" s="7">
        <f t="shared" si="6"/>
        <v>2440.1104834879493</v>
      </c>
      <c r="J3" s="7">
        <f t="shared" si="6"/>
        <v>5786.3547871910623</v>
      </c>
      <c r="K3" s="7">
        <f t="shared" si="6"/>
        <v>2466.3030827015455</v>
      </c>
      <c r="L3" s="7">
        <f t="shared" si="6"/>
        <v>1046.2293145482008</v>
      </c>
      <c r="M3" s="7">
        <f t="shared" si="6"/>
        <v>9475.8756316038398</v>
      </c>
      <c r="N3" s="7">
        <f t="shared" si="6"/>
        <v>2992.8164559808311</v>
      </c>
      <c r="O3" s="7">
        <f t="shared" si="6"/>
        <v>2340.8632855820179</v>
      </c>
      <c r="P3" s="7">
        <f t="shared" si="6"/>
        <v>4440.1861024761874</v>
      </c>
      <c r="Q3" s="7">
        <f t="shared" si="6"/>
        <v>5647.9407265995887</v>
      </c>
      <c r="R3" s="7">
        <f t="shared" si="6"/>
        <v>3492.2148271830006</v>
      </c>
      <c r="S3" s="7">
        <f t="shared" ref="S3:S14" si="7">SUM(G3:R3)</f>
        <v>42163.356613033095</v>
      </c>
      <c r="U3" s="3">
        <f t="shared" si="4"/>
        <v>12</v>
      </c>
      <c r="V3" s="7">
        <f t="shared" ref="V3:AG13" si="8">(EXP(-V51)/(EXP(-V51)+EXP(-V67)))*V35</f>
        <v>3468.213308805703</v>
      </c>
      <c r="W3" s="7">
        <f t="shared" si="8"/>
        <v>0</v>
      </c>
      <c r="X3" s="7">
        <f t="shared" si="8"/>
        <v>1625.0327461210168</v>
      </c>
      <c r="Y3" s="7">
        <f t="shared" si="8"/>
        <v>7942.4667306959836</v>
      </c>
      <c r="Z3" s="7">
        <f t="shared" si="8"/>
        <v>2853.8016598402278</v>
      </c>
      <c r="AA3" s="7">
        <f t="shared" si="8"/>
        <v>1320.994303127115</v>
      </c>
      <c r="AB3" s="7">
        <f t="shared" si="8"/>
        <v>12319.441669285627</v>
      </c>
      <c r="AC3" s="7">
        <f t="shared" si="8"/>
        <v>2907.6289551720879</v>
      </c>
      <c r="AD3" s="7">
        <f t="shared" si="8"/>
        <v>2167.9706760575464</v>
      </c>
      <c r="AE3" s="7">
        <f t="shared" si="8"/>
        <v>4682.2290057960299</v>
      </c>
      <c r="AF3" s="7">
        <f t="shared" si="8"/>
        <v>6277.1347310331321</v>
      </c>
      <c r="AG3" s="7">
        <f t="shared" si="8"/>
        <v>5353.9426335223525</v>
      </c>
      <c r="AH3" s="7">
        <f t="shared" ref="AH3:AH14" si="9">SUM(V3:AG3)</f>
        <v>50918.856419456824</v>
      </c>
    </row>
    <row r="4" spans="1:34" x14ac:dyDescent="0.45">
      <c r="A4" s="5" t="s">
        <v>163</v>
      </c>
      <c r="B4" s="1" t="s">
        <v>17</v>
      </c>
      <c r="C4" s="1" t="s">
        <v>301</v>
      </c>
      <c r="F4" s="3">
        <f t="shared" si="2"/>
        <v>29</v>
      </c>
      <c r="G4" s="7">
        <f t="shared" si="6"/>
        <v>2389.2856897834117</v>
      </c>
      <c r="H4" s="7">
        <f t="shared" si="6"/>
        <v>2445.0174115551245</v>
      </c>
      <c r="I4" s="7">
        <f t="shared" si="6"/>
        <v>0</v>
      </c>
      <c r="J4" s="7">
        <f t="shared" si="6"/>
        <v>2827.0160378749742</v>
      </c>
      <c r="K4" s="7">
        <f t="shared" si="6"/>
        <v>672.99446407496339</v>
      </c>
      <c r="L4" s="7">
        <f t="shared" si="6"/>
        <v>5341.2598460678246</v>
      </c>
      <c r="M4" s="7">
        <f t="shared" si="6"/>
        <v>5523.4880346139716</v>
      </c>
      <c r="N4" s="7">
        <f t="shared" si="6"/>
        <v>2904.3511000774415</v>
      </c>
      <c r="O4" s="7">
        <f t="shared" si="6"/>
        <v>3923.7084651147802</v>
      </c>
      <c r="P4" s="7">
        <f t="shared" si="6"/>
        <v>3910.066859171684</v>
      </c>
      <c r="Q4" s="7">
        <f t="shared" si="6"/>
        <v>5316.4001681189211</v>
      </c>
      <c r="R4" s="7">
        <f t="shared" si="6"/>
        <v>313.93064697066779</v>
      </c>
      <c r="S4" s="7">
        <f t="shared" si="7"/>
        <v>35567.51872342376</v>
      </c>
      <c r="U4" s="3">
        <f t="shared" si="4"/>
        <v>29</v>
      </c>
      <c r="V4" s="7">
        <f t="shared" si="8"/>
        <v>3912.8455948967685</v>
      </c>
      <c r="W4" s="7">
        <f t="shared" si="8"/>
        <v>1625.0370813189916</v>
      </c>
      <c r="X4" s="7">
        <f t="shared" si="8"/>
        <v>0</v>
      </c>
      <c r="Y4" s="7">
        <f t="shared" si="8"/>
        <v>2321.773280223395</v>
      </c>
      <c r="Z4" s="7">
        <f t="shared" si="8"/>
        <v>996.51310176881918</v>
      </c>
      <c r="AA4" s="7">
        <f t="shared" si="8"/>
        <v>5953.8210644196688</v>
      </c>
      <c r="AB4" s="7">
        <f t="shared" si="8"/>
        <v>4944.8358574073327</v>
      </c>
      <c r="AC4" s="7">
        <f t="shared" si="8"/>
        <v>4923.8840778696695</v>
      </c>
      <c r="AD4" s="7">
        <f t="shared" si="8"/>
        <v>5840.4082824912975</v>
      </c>
      <c r="AE4" s="7">
        <f t="shared" si="8"/>
        <v>5042.4257085324252</v>
      </c>
      <c r="AF4" s="7">
        <f t="shared" si="8"/>
        <v>6052.7353688792609</v>
      </c>
      <c r="AG4" s="7">
        <f t="shared" si="8"/>
        <v>389.09516433052306</v>
      </c>
      <c r="AH4" s="7">
        <f t="shared" si="9"/>
        <v>42003.374582138153</v>
      </c>
    </row>
    <row r="5" spans="1:34" x14ac:dyDescent="0.45">
      <c r="A5" s="5" t="s">
        <v>165</v>
      </c>
      <c r="B5" s="1" t="s">
        <v>17</v>
      </c>
      <c r="C5" s="1" t="s">
        <v>302</v>
      </c>
      <c r="F5" s="3">
        <f t="shared" si="2"/>
        <v>24</v>
      </c>
      <c r="G5" s="7">
        <f t="shared" si="6"/>
        <v>1494.3255310701368</v>
      </c>
      <c r="H5" s="7">
        <f t="shared" si="6"/>
        <v>5915.5761633899019</v>
      </c>
      <c r="I5" s="7">
        <f t="shared" si="6"/>
        <v>2884.348937666975</v>
      </c>
      <c r="J5" s="7">
        <f t="shared" si="6"/>
        <v>0</v>
      </c>
      <c r="K5" s="7">
        <f t="shared" si="6"/>
        <v>2940.1513871002171</v>
      </c>
      <c r="L5" s="7">
        <f t="shared" si="6"/>
        <v>1785.0492580677881</v>
      </c>
      <c r="M5" s="7">
        <f t="shared" si="6"/>
        <v>2509.9782449908444</v>
      </c>
      <c r="N5" s="7">
        <f t="shared" si="6"/>
        <v>1962.7090359243393</v>
      </c>
      <c r="O5" s="7">
        <f t="shared" si="6"/>
        <v>1974.9743946884612</v>
      </c>
      <c r="P5" s="7">
        <f t="shared" si="6"/>
        <v>3160.0015211258028</v>
      </c>
      <c r="Q5" s="7">
        <f t="shared" si="6"/>
        <v>352.78018097042053</v>
      </c>
      <c r="R5" s="7">
        <f t="shared" si="6"/>
        <v>755.5471044494742</v>
      </c>
      <c r="S5" s="7">
        <f t="shared" si="7"/>
        <v>25735.441759444362</v>
      </c>
      <c r="U5" s="3">
        <f t="shared" si="4"/>
        <v>24</v>
      </c>
      <c r="V5" s="7">
        <f t="shared" si="8"/>
        <v>1372.0297242294903</v>
      </c>
      <c r="W5" s="7">
        <f t="shared" si="8"/>
        <v>7949.2073915809069</v>
      </c>
      <c r="X5" s="7">
        <f t="shared" si="8"/>
        <v>2323.7375376917571</v>
      </c>
      <c r="Y5" s="7">
        <f t="shared" si="8"/>
        <v>0</v>
      </c>
      <c r="Z5" s="7">
        <f t="shared" si="8"/>
        <v>4696.8554631959141</v>
      </c>
      <c r="AA5" s="7">
        <f t="shared" si="8"/>
        <v>1731.4380279025277</v>
      </c>
      <c r="AB5" s="7">
        <f t="shared" si="8"/>
        <v>4445.3875117357247</v>
      </c>
      <c r="AC5" s="7">
        <f t="shared" si="8"/>
        <v>2343.5099869212777</v>
      </c>
      <c r="AD5" s="7">
        <f t="shared" si="8"/>
        <v>2622.2140421497006</v>
      </c>
      <c r="AE5" s="7">
        <f t="shared" si="8"/>
        <v>4078.1261430829031</v>
      </c>
      <c r="AF5" s="7">
        <f t="shared" si="8"/>
        <v>468.488232621782</v>
      </c>
      <c r="AG5" s="7">
        <f t="shared" si="8"/>
        <v>1108.2610446038525</v>
      </c>
      <c r="AH5" s="7">
        <f t="shared" si="9"/>
        <v>33139.255105715842</v>
      </c>
    </row>
    <row r="6" spans="1:34" x14ac:dyDescent="0.45">
      <c r="A6" s="5" t="s">
        <v>167</v>
      </c>
      <c r="B6" s="1" t="s">
        <v>17</v>
      </c>
      <c r="C6" s="1" t="s">
        <v>303</v>
      </c>
      <c r="F6" s="3">
        <f t="shared" si="2"/>
        <v>21</v>
      </c>
      <c r="G6" s="7">
        <f t="shared" si="6"/>
        <v>960.17084364076209</v>
      </c>
      <c r="H6" s="7">
        <f t="shared" si="6"/>
        <v>2556.161439946678</v>
      </c>
      <c r="I6" s="7">
        <f t="shared" si="6"/>
        <v>696.11478797713062</v>
      </c>
      <c r="J6" s="7">
        <f t="shared" si="6"/>
        <v>2980.7086944948669</v>
      </c>
      <c r="K6" s="7">
        <f t="shared" si="6"/>
        <v>0</v>
      </c>
      <c r="L6" s="7">
        <f t="shared" si="6"/>
        <v>3181.8946811975816</v>
      </c>
      <c r="M6" s="7">
        <f t="shared" si="6"/>
        <v>5068.4535014968615</v>
      </c>
      <c r="N6" s="7">
        <f t="shared" si="6"/>
        <v>270.89843713234018</v>
      </c>
      <c r="O6" s="7">
        <f t="shared" si="6"/>
        <v>1565.7970212675764</v>
      </c>
      <c r="P6" s="7">
        <f t="shared" si="6"/>
        <v>7647.6358246035597</v>
      </c>
      <c r="Q6" s="7">
        <f t="shared" si="6"/>
        <v>1143.5764413757524</v>
      </c>
      <c r="R6" s="7">
        <f t="shared" si="6"/>
        <v>1507.9272946500307</v>
      </c>
      <c r="S6" s="7">
        <f t="shared" si="7"/>
        <v>27579.338967783144</v>
      </c>
      <c r="U6" s="3">
        <f t="shared" si="4"/>
        <v>21</v>
      </c>
      <c r="V6" s="7">
        <f t="shared" si="8"/>
        <v>1956.5478999440402</v>
      </c>
      <c r="W6" s="7">
        <f t="shared" si="8"/>
        <v>2861.3644768492932</v>
      </c>
      <c r="X6" s="7">
        <f t="shared" si="8"/>
        <v>999.15128070896196</v>
      </c>
      <c r="Y6" s="7">
        <f t="shared" si="8"/>
        <v>4705.3091990898374</v>
      </c>
      <c r="Z6" s="7">
        <f t="shared" si="8"/>
        <v>0</v>
      </c>
      <c r="AA6" s="7">
        <f t="shared" si="8"/>
        <v>3849.5394799420674</v>
      </c>
      <c r="AB6" s="7">
        <f t="shared" si="8"/>
        <v>8555.085112425937</v>
      </c>
      <c r="AC6" s="7">
        <f t="shared" si="8"/>
        <v>362.71416746221485</v>
      </c>
      <c r="AD6" s="7">
        <f t="shared" si="8"/>
        <v>1851.5195044257689</v>
      </c>
      <c r="AE6" s="7">
        <f t="shared" si="8"/>
        <v>11343.849872376561</v>
      </c>
      <c r="AF6" s="7">
        <f t="shared" si="8"/>
        <v>839.62881418117217</v>
      </c>
      <c r="AG6" s="7">
        <f t="shared" si="8"/>
        <v>1327.0545880765289</v>
      </c>
      <c r="AH6" s="7">
        <f t="shared" si="9"/>
        <v>38651.76439548238</v>
      </c>
    </row>
    <row r="7" spans="1:34" x14ac:dyDescent="0.45">
      <c r="A7" s="5" t="s">
        <v>169</v>
      </c>
      <c r="B7" s="1" t="s">
        <v>17</v>
      </c>
      <c r="C7" s="1" t="s">
        <v>304</v>
      </c>
      <c r="F7" s="3">
        <f t="shared" si="2"/>
        <v>42</v>
      </c>
      <c r="G7" s="7">
        <f t="shared" si="6"/>
        <v>1041.9513930436244</v>
      </c>
      <c r="H7" s="7">
        <f t="shared" si="6"/>
        <v>1029.4202719231998</v>
      </c>
      <c r="I7" s="7">
        <f t="shared" si="6"/>
        <v>5244.898316914213</v>
      </c>
      <c r="J7" s="7">
        <f t="shared" si="6"/>
        <v>1718.0035035018998</v>
      </c>
      <c r="K7" s="7">
        <f t="shared" si="6"/>
        <v>3020.7153269149435</v>
      </c>
      <c r="L7" s="7">
        <f t="shared" si="6"/>
        <v>0</v>
      </c>
      <c r="M7" s="7">
        <f t="shared" si="6"/>
        <v>1259.0912694918393</v>
      </c>
      <c r="N7" s="7">
        <f t="shared" si="6"/>
        <v>567.03577667364061</v>
      </c>
      <c r="O7" s="7">
        <f t="shared" si="6"/>
        <v>1539.2972459476437</v>
      </c>
      <c r="P7" s="7">
        <f t="shared" si="6"/>
        <v>3810.3558704477628</v>
      </c>
      <c r="Q7" s="7">
        <f t="shared" si="6"/>
        <v>1597.3339282565835</v>
      </c>
      <c r="R7" s="7">
        <f t="shared" si="6"/>
        <v>898.1024044824012</v>
      </c>
      <c r="S7" s="7">
        <f t="shared" si="7"/>
        <v>21726.205307597749</v>
      </c>
      <c r="U7" s="3">
        <f t="shared" si="4"/>
        <v>42</v>
      </c>
      <c r="V7" s="7">
        <f t="shared" si="8"/>
        <v>945.13221704589432</v>
      </c>
      <c r="W7" s="7">
        <f t="shared" si="8"/>
        <v>1318.5336517454664</v>
      </c>
      <c r="X7" s="7">
        <f t="shared" si="8"/>
        <v>5942.7148691145248</v>
      </c>
      <c r="Y7" s="7">
        <f t="shared" si="8"/>
        <v>1726.7473655912761</v>
      </c>
      <c r="Z7" s="7">
        <f t="shared" si="8"/>
        <v>3832.2131492701897</v>
      </c>
      <c r="AA7" s="7">
        <f t="shared" si="8"/>
        <v>0</v>
      </c>
      <c r="AB7" s="7">
        <f t="shared" si="8"/>
        <v>1241.8129375414132</v>
      </c>
      <c r="AC7" s="7">
        <f t="shared" si="8"/>
        <v>659.10971580216665</v>
      </c>
      <c r="AD7" s="7">
        <f t="shared" si="8"/>
        <v>1807.0595381631426</v>
      </c>
      <c r="AE7" s="7">
        <f t="shared" si="8"/>
        <v>5518.2258042593485</v>
      </c>
      <c r="AF7" s="7">
        <f t="shared" si="8"/>
        <v>2040.2083943152854</v>
      </c>
      <c r="AG7" s="7">
        <f t="shared" si="8"/>
        <v>962.73389237359231</v>
      </c>
      <c r="AH7" s="7">
        <f t="shared" si="9"/>
        <v>25994.491535222303</v>
      </c>
    </row>
    <row r="8" spans="1:34" x14ac:dyDescent="0.45">
      <c r="A8" s="5" t="s">
        <v>171</v>
      </c>
      <c r="B8" s="1" t="s">
        <v>17</v>
      </c>
      <c r="C8" s="1" t="s">
        <v>305</v>
      </c>
      <c r="F8" s="3">
        <f t="shared" si="2"/>
        <v>43</v>
      </c>
      <c r="G8" s="7">
        <f t="shared" si="6"/>
        <v>2258.4226257871446</v>
      </c>
      <c r="H8" s="7">
        <f t="shared" si="6"/>
        <v>9417.6552480961509</v>
      </c>
      <c r="I8" s="7">
        <f t="shared" si="6"/>
        <v>5478.5343408308099</v>
      </c>
      <c r="J8" s="7">
        <f t="shared" si="6"/>
        <v>2440.0650350939586</v>
      </c>
      <c r="K8" s="7">
        <f t="shared" si="6"/>
        <v>4860.2327695504619</v>
      </c>
      <c r="L8" s="7">
        <f t="shared" si="6"/>
        <v>1271.7882749279311</v>
      </c>
      <c r="M8" s="7">
        <f t="shared" si="6"/>
        <v>0</v>
      </c>
      <c r="N8" s="7">
        <f t="shared" si="6"/>
        <v>8855.4449826204909</v>
      </c>
      <c r="O8" s="7">
        <f t="shared" si="6"/>
        <v>3461.4326330093509</v>
      </c>
      <c r="P8" s="7">
        <f t="shared" si="6"/>
        <v>3516.0447257472756</v>
      </c>
      <c r="Q8" s="7">
        <f t="shared" si="6"/>
        <v>6465.4152667899816</v>
      </c>
      <c r="R8" s="7">
        <f t="shared" si="6"/>
        <v>4433.8699677639534</v>
      </c>
      <c r="S8" s="7">
        <f t="shared" si="7"/>
        <v>52458.905870217517</v>
      </c>
      <c r="U8" s="3">
        <f t="shared" si="4"/>
        <v>43</v>
      </c>
      <c r="V8" s="7">
        <f t="shared" si="8"/>
        <v>3892.3941215392338</v>
      </c>
      <c r="W8" s="7">
        <f t="shared" si="8"/>
        <v>12286.112872356238</v>
      </c>
      <c r="X8" s="7">
        <f t="shared" si="8"/>
        <v>4931.4450310955372</v>
      </c>
      <c r="Y8" s="7">
        <f t="shared" si="8"/>
        <v>4429.601698687613</v>
      </c>
      <c r="Z8" s="7">
        <f t="shared" si="8"/>
        <v>8509.3897321302029</v>
      </c>
      <c r="AA8" s="7">
        <f t="shared" si="8"/>
        <v>1240.7645643568756</v>
      </c>
      <c r="AB8" s="7">
        <f t="shared" si="8"/>
        <v>0</v>
      </c>
      <c r="AC8" s="7">
        <f t="shared" si="8"/>
        <v>12155.529815524051</v>
      </c>
      <c r="AD8" s="7">
        <f t="shared" si="8"/>
        <v>2541.7228559259047</v>
      </c>
      <c r="AE8" s="7">
        <f t="shared" si="8"/>
        <v>3131.5527518007361</v>
      </c>
      <c r="AF8" s="7">
        <f t="shared" si="8"/>
        <v>9248.2583482117825</v>
      </c>
      <c r="AG8" s="7">
        <f t="shared" si="8"/>
        <v>5111.4391876435884</v>
      </c>
      <c r="AH8" s="7">
        <f t="shared" si="9"/>
        <v>67478.210979271767</v>
      </c>
    </row>
    <row r="9" spans="1:34" x14ac:dyDescent="0.45">
      <c r="A9" s="5" t="s">
        <v>173</v>
      </c>
      <c r="B9" s="1" t="s">
        <v>17</v>
      </c>
      <c r="C9" s="1" t="s">
        <v>306</v>
      </c>
      <c r="F9" s="3">
        <f t="shared" si="2"/>
        <v>31</v>
      </c>
      <c r="G9" s="7">
        <f t="shared" si="6"/>
        <v>1086.2620198371501</v>
      </c>
      <c r="H9" s="7">
        <f t="shared" si="6"/>
        <v>3012.3981933166715</v>
      </c>
      <c r="I9" s="7">
        <f t="shared" si="6"/>
        <v>2917.4871100714363</v>
      </c>
      <c r="J9" s="7">
        <f t="shared" si="6"/>
        <v>1932.3964258294125</v>
      </c>
      <c r="K9" s="7">
        <f t="shared" si="6"/>
        <v>263.08552960319963</v>
      </c>
      <c r="L9" s="7">
        <f t="shared" si="6"/>
        <v>580.06535107176046</v>
      </c>
      <c r="M9" s="7">
        <f t="shared" si="6"/>
        <v>8968.4883513877849</v>
      </c>
      <c r="N9" s="7">
        <f t="shared" si="6"/>
        <v>0</v>
      </c>
      <c r="O9" s="7">
        <f t="shared" si="6"/>
        <v>2195.3973138089968</v>
      </c>
      <c r="P9" s="7">
        <f t="shared" si="6"/>
        <v>4286.5035323275952</v>
      </c>
      <c r="Q9" s="7">
        <f t="shared" si="6"/>
        <v>3737.8334453866919</v>
      </c>
      <c r="R9" s="7">
        <f t="shared" si="6"/>
        <v>5315.7251396639549</v>
      </c>
      <c r="S9" s="7">
        <f t="shared" si="7"/>
        <v>34295.64241230466</v>
      </c>
      <c r="U9" s="3">
        <f t="shared" si="4"/>
        <v>31</v>
      </c>
      <c r="V9" s="7">
        <f t="shared" si="8"/>
        <v>1766.1773250824356</v>
      </c>
      <c r="W9" s="7">
        <f t="shared" si="8"/>
        <v>2907.3372453207053</v>
      </c>
      <c r="X9" s="7">
        <f t="shared" si="8"/>
        <v>4923.3769514625947</v>
      </c>
      <c r="Y9" s="7">
        <f t="shared" si="8"/>
        <v>2341.2878542983453</v>
      </c>
      <c r="Z9" s="7">
        <f t="shared" si="8"/>
        <v>361.71919130897606</v>
      </c>
      <c r="AA9" s="7">
        <f t="shared" si="8"/>
        <v>660.27349925960266</v>
      </c>
      <c r="AB9" s="7">
        <f t="shared" si="8"/>
        <v>12187.281557060529</v>
      </c>
      <c r="AC9" s="7">
        <f t="shared" si="8"/>
        <v>0</v>
      </c>
      <c r="AD9" s="7">
        <f t="shared" si="8"/>
        <v>2347.3666606482611</v>
      </c>
      <c r="AE9" s="7">
        <f t="shared" si="8"/>
        <v>5175.2610182540375</v>
      </c>
      <c r="AF9" s="7">
        <f t="shared" si="8"/>
        <v>4720.6143189199465</v>
      </c>
      <c r="AG9" s="7">
        <f t="shared" si="8"/>
        <v>5845.6061800906973</v>
      </c>
      <c r="AH9" s="7">
        <f t="shared" si="9"/>
        <v>43236.301801706133</v>
      </c>
    </row>
    <row r="10" spans="1:34" x14ac:dyDescent="0.45">
      <c r="A10" s="5" t="s">
        <v>175</v>
      </c>
      <c r="B10" s="1" t="s">
        <v>17</v>
      </c>
      <c r="C10" s="1" t="s">
        <v>307</v>
      </c>
      <c r="F10" s="3">
        <f t="shared" si="2"/>
        <v>33</v>
      </c>
      <c r="G10" s="7">
        <f t="shared" si="6"/>
        <v>928.69363235730248</v>
      </c>
      <c r="H10" s="7">
        <f t="shared" si="6"/>
        <v>2288.5839740392967</v>
      </c>
      <c r="I10" s="7">
        <f t="shared" si="6"/>
        <v>3828.3802609775166</v>
      </c>
      <c r="J10" s="7">
        <f t="shared" si="6"/>
        <v>1888.6882569206778</v>
      </c>
      <c r="K10" s="7">
        <f t="shared" si="6"/>
        <v>1477.0133864329273</v>
      </c>
      <c r="L10" s="7">
        <f t="shared" si="6"/>
        <v>1529.4928909318719</v>
      </c>
      <c r="M10" s="7">
        <f t="shared" si="6"/>
        <v>3405.0480900008261</v>
      </c>
      <c r="N10" s="7">
        <f t="shared" si="6"/>
        <v>2132.4145416906144</v>
      </c>
      <c r="O10" s="7">
        <f t="shared" si="6"/>
        <v>0</v>
      </c>
      <c r="P10" s="7">
        <f t="shared" si="6"/>
        <v>2231.1659734884734</v>
      </c>
      <c r="Q10" s="7">
        <f t="shared" si="6"/>
        <v>1637.0400375867268</v>
      </c>
      <c r="R10" s="7">
        <f t="shared" si="6"/>
        <v>2417.7517289499001</v>
      </c>
      <c r="S10" s="7">
        <f t="shared" si="7"/>
        <v>23764.272773376139</v>
      </c>
      <c r="U10" s="3">
        <f t="shared" si="4"/>
        <v>33</v>
      </c>
      <c r="V10" s="7">
        <f t="shared" si="8"/>
        <v>2024.6804183522672</v>
      </c>
      <c r="W10" s="7">
        <f t="shared" si="8"/>
        <v>2161.1766032262526</v>
      </c>
      <c r="X10" s="7">
        <f t="shared" si="8"/>
        <v>5822.0898465151467</v>
      </c>
      <c r="Y10" s="7">
        <f t="shared" si="8"/>
        <v>2611.7798621802358</v>
      </c>
      <c r="Z10" s="7">
        <f t="shared" si="8"/>
        <v>1840.8387596684331</v>
      </c>
      <c r="AA10" s="7">
        <f t="shared" si="8"/>
        <v>1804.7582744828346</v>
      </c>
      <c r="AB10" s="7">
        <f t="shared" si="8"/>
        <v>2540.6308809296183</v>
      </c>
      <c r="AC10" s="7">
        <f t="shared" si="8"/>
        <v>2340.2451762251499</v>
      </c>
      <c r="AD10" s="7">
        <f t="shared" si="8"/>
        <v>0</v>
      </c>
      <c r="AE10" s="7">
        <f t="shared" si="8"/>
        <v>1676.1487807985584</v>
      </c>
      <c r="AF10" s="7">
        <f t="shared" si="8"/>
        <v>3007.0486089257438</v>
      </c>
      <c r="AG10" s="7">
        <f t="shared" si="8"/>
        <v>2467.7176725568806</v>
      </c>
      <c r="AH10" s="7">
        <f t="shared" si="9"/>
        <v>28297.114883861119</v>
      </c>
    </row>
    <row r="11" spans="1:34" x14ac:dyDescent="0.45">
      <c r="A11" s="5" t="s">
        <v>177</v>
      </c>
      <c r="B11" s="1" t="s">
        <v>17</v>
      </c>
      <c r="C11" s="1" t="s">
        <v>308</v>
      </c>
      <c r="F11" s="3">
        <f t="shared" si="2"/>
        <v>30</v>
      </c>
      <c r="G11" s="7">
        <f t="shared" si="6"/>
        <v>1983.2979535879715</v>
      </c>
      <c r="H11" s="7">
        <f t="shared" si="6"/>
        <v>4462.5925021623843</v>
      </c>
      <c r="I11" s="7">
        <f t="shared" si="6"/>
        <v>3921.9113831930085</v>
      </c>
      <c r="J11" s="7">
        <f t="shared" si="6"/>
        <v>3106.5715329900017</v>
      </c>
      <c r="K11" s="7">
        <f t="shared" si="6"/>
        <v>7416.0290744007007</v>
      </c>
      <c r="L11" s="7">
        <f t="shared" si="6"/>
        <v>3892.1159073960125</v>
      </c>
      <c r="M11" s="7">
        <f t="shared" si="6"/>
        <v>3555.6336939132584</v>
      </c>
      <c r="N11" s="7">
        <f t="shared" si="6"/>
        <v>4280.1298905305584</v>
      </c>
      <c r="O11" s="7">
        <f t="shared" si="6"/>
        <v>2293.6499296324318</v>
      </c>
      <c r="P11" s="7">
        <f t="shared" si="6"/>
        <v>0</v>
      </c>
      <c r="Q11" s="7">
        <f t="shared" si="6"/>
        <v>1964.5831189478592</v>
      </c>
      <c r="R11" s="7">
        <f t="shared" si="6"/>
        <v>5281.3907638346973</v>
      </c>
      <c r="S11" s="7">
        <f t="shared" si="7"/>
        <v>42157.905750588878</v>
      </c>
      <c r="U11" s="3">
        <f t="shared" si="4"/>
        <v>30</v>
      </c>
      <c r="V11" s="7">
        <f t="shared" si="8"/>
        <v>1790.7774435111426</v>
      </c>
      <c r="W11" s="7">
        <f t="shared" si="8"/>
        <v>4672.2053241346748</v>
      </c>
      <c r="X11" s="7">
        <f t="shared" si="8"/>
        <v>5031.6174972505642</v>
      </c>
      <c r="Y11" s="7">
        <f t="shared" si="8"/>
        <v>4065.9450095226425</v>
      </c>
      <c r="Z11" s="7">
        <f t="shared" si="8"/>
        <v>11289.646518372369</v>
      </c>
      <c r="AA11" s="7">
        <f t="shared" si="8"/>
        <v>5516.6885098346247</v>
      </c>
      <c r="AB11" s="7">
        <f t="shared" si="8"/>
        <v>3133.3255894912836</v>
      </c>
      <c r="AC11" s="7">
        <f t="shared" si="8"/>
        <v>5164.700009300147</v>
      </c>
      <c r="AD11" s="7">
        <f t="shared" si="8"/>
        <v>1677.8185081796912</v>
      </c>
      <c r="AE11" s="7">
        <f t="shared" si="8"/>
        <v>0</v>
      </c>
      <c r="AF11" s="7">
        <f t="shared" si="8"/>
        <v>3710.0577348287875</v>
      </c>
      <c r="AG11" s="7">
        <f t="shared" si="8"/>
        <v>6260.2088027518184</v>
      </c>
      <c r="AH11" s="7">
        <f t="shared" si="9"/>
        <v>52312.990947177743</v>
      </c>
    </row>
    <row r="12" spans="1:34" x14ac:dyDescent="0.45">
      <c r="A12" s="5" t="s">
        <v>179</v>
      </c>
      <c r="B12" s="1" t="s">
        <v>17</v>
      </c>
      <c r="C12" s="1" t="s">
        <v>309</v>
      </c>
      <c r="F12" s="3">
        <f t="shared" si="2"/>
        <v>18</v>
      </c>
      <c r="G12" s="7">
        <f t="shared" si="6"/>
        <v>572.72271387539331</v>
      </c>
      <c r="H12" s="7">
        <f t="shared" si="6"/>
        <v>5724.8026580022706</v>
      </c>
      <c r="I12" s="7">
        <f t="shared" si="6"/>
        <v>5377.9354838647978</v>
      </c>
      <c r="J12" s="7">
        <f t="shared" si="6"/>
        <v>349.77001632169828</v>
      </c>
      <c r="K12" s="7">
        <f t="shared" si="6"/>
        <v>1118.3912401761643</v>
      </c>
      <c r="L12" s="7">
        <f t="shared" si="6"/>
        <v>1645.5090483956724</v>
      </c>
      <c r="M12" s="7">
        <f t="shared" si="6"/>
        <v>6593.9155167990166</v>
      </c>
      <c r="N12" s="7">
        <f t="shared" si="6"/>
        <v>3764.0730272382693</v>
      </c>
      <c r="O12" s="7">
        <f t="shared" si="6"/>
        <v>1697.2229245018461</v>
      </c>
      <c r="P12" s="7">
        <f t="shared" si="6"/>
        <v>1981.3205315929547</v>
      </c>
      <c r="Q12" s="7">
        <f t="shared" si="6"/>
        <v>0</v>
      </c>
      <c r="R12" s="7">
        <f t="shared" si="6"/>
        <v>3044.1598787569183</v>
      </c>
      <c r="S12" s="7">
        <f t="shared" si="7"/>
        <v>31869.823039524999</v>
      </c>
      <c r="U12" s="3">
        <f t="shared" si="4"/>
        <v>18</v>
      </c>
      <c r="V12" s="7">
        <f t="shared" si="8"/>
        <v>1143.940764927557</v>
      </c>
      <c r="W12" s="7">
        <f t="shared" si="8"/>
        <v>6280.4002107183433</v>
      </c>
      <c r="X12" s="7">
        <f t="shared" si="8"/>
        <v>6055.8679563292526</v>
      </c>
      <c r="Y12" s="7">
        <f t="shared" si="8"/>
        <v>468.33447977384128</v>
      </c>
      <c r="Z12" s="7">
        <f t="shared" si="8"/>
        <v>837.84524324303334</v>
      </c>
      <c r="AA12" s="7">
        <f t="shared" si="8"/>
        <v>2045.0791714503041</v>
      </c>
      <c r="AB12" s="7">
        <f t="shared" si="8"/>
        <v>9278.1704566960962</v>
      </c>
      <c r="AC12" s="7">
        <f t="shared" si="8"/>
        <v>4723.5439611281627</v>
      </c>
      <c r="AD12" s="7">
        <f t="shared" si="8"/>
        <v>3018.0710816510727</v>
      </c>
      <c r="AE12" s="7">
        <f t="shared" si="8"/>
        <v>3719.9514191899189</v>
      </c>
      <c r="AF12" s="7">
        <f t="shared" si="8"/>
        <v>0</v>
      </c>
      <c r="AG12" s="7">
        <f t="shared" si="8"/>
        <v>3286.7949414367781</v>
      </c>
      <c r="AH12" s="7">
        <f t="shared" si="9"/>
        <v>40857.999686544354</v>
      </c>
    </row>
    <row r="13" spans="1:34" x14ac:dyDescent="0.45">
      <c r="A13" s="5" t="s">
        <v>181</v>
      </c>
      <c r="B13" s="1" t="s">
        <v>17</v>
      </c>
      <c r="C13" s="1" t="s">
        <v>310</v>
      </c>
      <c r="F13" s="3">
        <f t="shared" si="2"/>
        <v>40</v>
      </c>
      <c r="G13" s="7">
        <f t="shared" si="6"/>
        <v>1742.763556842802</v>
      </c>
      <c r="H13" s="7">
        <f t="shared" si="6"/>
        <v>3483.4763026753681</v>
      </c>
      <c r="I13" s="7">
        <f t="shared" si="6"/>
        <v>312.51664852352258</v>
      </c>
      <c r="J13" s="7">
        <f t="shared" si="6"/>
        <v>737.19344083039766</v>
      </c>
      <c r="K13" s="7">
        <f t="shared" si="6"/>
        <v>1451.2775511023756</v>
      </c>
      <c r="L13" s="7">
        <f t="shared" si="6"/>
        <v>910.48319799787123</v>
      </c>
      <c r="M13" s="7">
        <f t="shared" si="6"/>
        <v>4450.116953681214</v>
      </c>
      <c r="N13" s="7">
        <f t="shared" si="6"/>
        <v>5267.9558921628413</v>
      </c>
      <c r="O13" s="7">
        <f t="shared" si="6"/>
        <v>2466.7935761062249</v>
      </c>
      <c r="P13" s="7">
        <f t="shared" si="6"/>
        <v>5241.724026862209</v>
      </c>
      <c r="Q13" s="7">
        <f t="shared" si="6"/>
        <v>2995.773508900385</v>
      </c>
      <c r="R13" s="7">
        <f t="shared" si="6"/>
        <v>0</v>
      </c>
      <c r="S13" s="7">
        <f t="shared" si="7"/>
        <v>29060.07465568521</v>
      </c>
      <c r="U13" s="3">
        <f t="shared" si="4"/>
        <v>40</v>
      </c>
      <c r="V13" s="7">
        <f t="shared" si="8"/>
        <v>2097.0175653943702</v>
      </c>
      <c r="W13" s="7">
        <f t="shared" si="8"/>
        <v>5355.8368018365363</v>
      </c>
      <c r="X13" s="7">
        <f t="shared" si="8"/>
        <v>389.23178370991417</v>
      </c>
      <c r="Y13" s="7">
        <f t="shared" si="8"/>
        <v>1107.7130350237917</v>
      </c>
      <c r="Z13" s="7">
        <f t="shared" si="8"/>
        <v>1324.0153327727464</v>
      </c>
      <c r="AA13" s="7">
        <f t="shared" si="8"/>
        <v>964.87178991060637</v>
      </c>
      <c r="AB13" s="7">
        <f t="shared" si="8"/>
        <v>5127.1183750596774</v>
      </c>
      <c r="AC13" s="7">
        <f t="shared" si="8"/>
        <v>5848.2610245335545</v>
      </c>
      <c r="AD13" s="7">
        <f t="shared" si="8"/>
        <v>2476.3512130238787</v>
      </c>
      <c r="AE13" s="7">
        <f t="shared" si="8"/>
        <v>6275.8589113826929</v>
      </c>
      <c r="AF13" s="7">
        <f t="shared" si="8"/>
        <v>3286.248208642714</v>
      </c>
      <c r="AG13" s="7">
        <f t="shared" si="8"/>
        <v>0</v>
      </c>
      <c r="AH13" s="7">
        <f t="shared" si="9"/>
        <v>34252.524041290482</v>
      </c>
    </row>
    <row r="14" spans="1:34" x14ac:dyDescent="0.45">
      <c r="A14" s="5" t="s">
        <v>183</v>
      </c>
      <c r="B14" s="1" t="s">
        <v>17</v>
      </c>
      <c r="C14" s="1" t="s">
        <v>311</v>
      </c>
      <c r="F14" s="3" t="s">
        <v>329</v>
      </c>
      <c r="G14" s="7">
        <f>SUM(G2:G13)</f>
        <v>16492.357875504571</v>
      </c>
      <c r="H14" s="7">
        <f t="shared" ref="H14:R14" si="10">SUM(H2:H13)</f>
        <v>42375.294851545463</v>
      </c>
      <c r="I14" s="7">
        <f t="shared" si="10"/>
        <v>35492.762979290594</v>
      </c>
      <c r="J14" s="7">
        <f t="shared" si="10"/>
        <v>25232.150023528913</v>
      </c>
      <c r="K14" s="7">
        <f t="shared" si="10"/>
        <v>26614.955720044196</v>
      </c>
      <c r="L14" s="7">
        <f t="shared" si="10"/>
        <v>22245.532827646191</v>
      </c>
      <c r="M14" s="7">
        <f t="shared" si="10"/>
        <v>53088.224487071013</v>
      </c>
      <c r="N14" s="7">
        <f t="shared" si="10"/>
        <v>34079.761259915656</v>
      </c>
      <c r="O14" s="7">
        <f t="shared" si="10"/>
        <v>24411.449059280229</v>
      </c>
      <c r="P14" s="7">
        <f t="shared" si="10"/>
        <v>42203.338990255172</v>
      </c>
      <c r="Q14" s="7">
        <f t="shared" si="10"/>
        <v>31425.140062093065</v>
      </c>
      <c r="R14" s="7">
        <f t="shared" si="10"/>
        <v>29212.176759309034</v>
      </c>
      <c r="S14" s="7">
        <f t="shared" si="7"/>
        <v>382873.14489548409</v>
      </c>
      <c r="U14" s="3" t="s">
        <v>329</v>
      </c>
      <c r="V14" s="7">
        <f>SUM(V2:V13)</f>
        <v>24369.756383728905</v>
      </c>
      <c r="W14" s="7">
        <f t="shared" ref="W14:AG14" si="11">SUM(W2:W13)</f>
        <v>50882.056943611584</v>
      </c>
      <c r="X14" s="7">
        <f t="shared" si="11"/>
        <v>41953.300854404108</v>
      </c>
      <c r="Y14" s="7">
        <f t="shared" si="11"/>
        <v>33090.49353920362</v>
      </c>
      <c r="Z14" s="7">
        <f t="shared" si="11"/>
        <v>38492.319732045544</v>
      </c>
      <c r="AA14" s="7">
        <f t="shared" si="11"/>
        <v>26034.205167967895</v>
      </c>
      <c r="AB14" s="7">
        <f t="shared" si="11"/>
        <v>67672.25284321417</v>
      </c>
      <c r="AC14" s="7">
        <f t="shared" si="11"/>
        <v>43193.766097288346</v>
      </c>
      <c r="AD14" s="7">
        <f t="shared" si="11"/>
        <v>28379.575379012844</v>
      </c>
      <c r="AE14" s="7">
        <f t="shared" si="11"/>
        <v>52436.505990226375</v>
      </c>
      <c r="AF14" s="7">
        <f t="shared" si="11"/>
        <v>40792.658418876141</v>
      </c>
      <c r="AG14" s="7">
        <f t="shared" si="11"/>
        <v>34207.094313375019</v>
      </c>
      <c r="AH14" s="7">
        <f t="shared" si="9"/>
        <v>481503.98566295457</v>
      </c>
    </row>
    <row r="15" spans="1:34" x14ac:dyDescent="0.45">
      <c r="A15" s="5" t="s">
        <v>185</v>
      </c>
      <c r="B15" s="1" t="s">
        <v>17</v>
      </c>
      <c r="C15" s="1" t="s">
        <v>312</v>
      </c>
    </row>
    <row r="16" spans="1:34" x14ac:dyDescent="0.45">
      <c r="A16" s="5" t="s">
        <v>187</v>
      </c>
      <c r="B16" s="1" t="s">
        <v>17</v>
      </c>
      <c r="C16" s="1" t="s">
        <v>313</v>
      </c>
    </row>
    <row r="17" spans="1:34" x14ac:dyDescent="0.45">
      <c r="A17" s="5" t="s">
        <v>189</v>
      </c>
      <c r="B17" s="1" t="s">
        <v>17</v>
      </c>
      <c r="C17" s="1" t="s">
        <v>332</v>
      </c>
      <c r="F17" s="4" t="s">
        <v>161</v>
      </c>
      <c r="G17" s="3">
        <f t="shared" ref="G17:R17" si="12">G33</f>
        <v>9</v>
      </c>
      <c r="H17" s="3">
        <f t="shared" si="12"/>
        <v>12</v>
      </c>
      <c r="I17" s="3">
        <f t="shared" si="12"/>
        <v>29</v>
      </c>
      <c r="J17" s="3">
        <f t="shared" si="12"/>
        <v>24</v>
      </c>
      <c r="K17" s="3">
        <f t="shared" si="12"/>
        <v>21</v>
      </c>
      <c r="L17" s="3">
        <f t="shared" si="12"/>
        <v>42</v>
      </c>
      <c r="M17" s="3">
        <f t="shared" si="12"/>
        <v>43</v>
      </c>
      <c r="N17" s="3">
        <f t="shared" si="12"/>
        <v>31</v>
      </c>
      <c r="O17" s="3">
        <f t="shared" si="12"/>
        <v>33</v>
      </c>
      <c r="P17" s="3">
        <f t="shared" si="12"/>
        <v>30</v>
      </c>
      <c r="Q17" s="3">
        <f t="shared" si="12"/>
        <v>18</v>
      </c>
      <c r="R17" s="3">
        <f t="shared" si="12"/>
        <v>40</v>
      </c>
      <c r="S17" s="3" t="s">
        <v>329</v>
      </c>
      <c r="U17" s="4" t="s">
        <v>179</v>
      </c>
      <c r="V17" s="3">
        <f t="shared" ref="V17:AG17" si="13">V33</f>
        <v>9</v>
      </c>
      <c r="W17" s="3">
        <f t="shared" si="13"/>
        <v>12</v>
      </c>
      <c r="X17" s="3">
        <f t="shared" si="13"/>
        <v>29</v>
      </c>
      <c r="Y17" s="3">
        <f t="shared" si="13"/>
        <v>24</v>
      </c>
      <c r="Z17" s="3">
        <f t="shared" si="13"/>
        <v>21</v>
      </c>
      <c r="AA17" s="3">
        <f t="shared" si="13"/>
        <v>42</v>
      </c>
      <c r="AB17" s="3">
        <f t="shared" si="13"/>
        <v>43</v>
      </c>
      <c r="AC17" s="3">
        <f t="shared" si="13"/>
        <v>31</v>
      </c>
      <c r="AD17" s="3">
        <f t="shared" si="13"/>
        <v>33</v>
      </c>
      <c r="AE17" s="3">
        <f t="shared" si="13"/>
        <v>30</v>
      </c>
      <c r="AF17" s="3">
        <f t="shared" si="13"/>
        <v>18</v>
      </c>
      <c r="AG17" s="3">
        <f t="shared" si="13"/>
        <v>40</v>
      </c>
      <c r="AH17" s="3" t="s">
        <v>329</v>
      </c>
    </row>
    <row r="18" spans="1:34" x14ac:dyDescent="0.45">
      <c r="A18" s="5" t="s">
        <v>191</v>
      </c>
      <c r="B18" s="1" t="s">
        <v>17</v>
      </c>
      <c r="C18" s="1" t="s">
        <v>333</v>
      </c>
      <c r="F18" s="3">
        <f t="shared" ref="F18:F29" si="14">F34</f>
        <v>9</v>
      </c>
      <c r="G18" s="7">
        <f>(EXP(-G66)/(EXP(-G50)+EXP(-G66)))*G34</f>
        <v>0</v>
      </c>
      <c r="H18" s="7">
        <f t="shared" ref="H18:R18" si="15">(EXP(-H66)/(EXP(-H50)+EXP(-H66)))*H34</f>
        <v>1845.5160673154778</v>
      </c>
      <c r="I18" s="7">
        <f t="shared" si="15"/>
        <v>1770.944644259496</v>
      </c>
      <c r="J18" s="7">
        <f t="shared" si="15"/>
        <v>198.31792760269306</v>
      </c>
      <c r="K18" s="7">
        <f t="shared" si="15"/>
        <v>1692.3145336291202</v>
      </c>
      <c r="L18" s="7">
        <f t="shared" si="15"/>
        <v>175.48874761526233</v>
      </c>
      <c r="M18" s="7">
        <f t="shared" si="15"/>
        <v>3075.1608633426404</v>
      </c>
      <c r="N18" s="7">
        <f t="shared" si="15"/>
        <v>1321.4748753687579</v>
      </c>
      <c r="O18" s="7">
        <f t="shared" si="15"/>
        <v>2342.3102211524943</v>
      </c>
      <c r="P18" s="7">
        <f t="shared" si="15"/>
        <v>242.259718275887</v>
      </c>
      <c r="Q18" s="7">
        <f t="shared" si="15"/>
        <v>2078.5216757791668</v>
      </c>
      <c r="R18" s="7">
        <f t="shared" si="15"/>
        <v>712.12993456498441</v>
      </c>
      <c r="S18" s="7">
        <f>SUM(G18:R18)</f>
        <v>15454.439208905982</v>
      </c>
      <c r="U18" s="3">
        <f t="shared" ref="U18:U29" si="16">U34</f>
        <v>9</v>
      </c>
      <c r="V18" s="7">
        <f>(EXP(-V66)/(EXP(-V50)+EXP(-V66)))*V34</f>
        <v>0</v>
      </c>
      <c r="W18" s="7">
        <f t="shared" ref="W18:AG18" si="17">(EXP(-W66)/(EXP(-W50)+EXP(-W66)))*W34</f>
        <v>898.22739465773441</v>
      </c>
      <c r="X18" s="7">
        <f t="shared" si="17"/>
        <v>614.6456421464037</v>
      </c>
      <c r="Y18" s="7">
        <f t="shared" si="17"/>
        <v>30.637555573542034</v>
      </c>
      <c r="Z18" s="7">
        <f t="shared" si="17"/>
        <v>1069.898175715449</v>
      </c>
      <c r="AA18" s="7">
        <f t="shared" si="17"/>
        <v>23.387874624732866</v>
      </c>
      <c r="AB18" s="7">
        <f t="shared" si="17"/>
        <v>1507.9662488527847</v>
      </c>
      <c r="AC18" s="7">
        <f t="shared" si="17"/>
        <v>587.39736528666992</v>
      </c>
      <c r="AD18" s="7">
        <f t="shared" si="17"/>
        <v>1746.4393298753162</v>
      </c>
      <c r="AE18" s="7">
        <f t="shared" si="17"/>
        <v>51.499733554311554</v>
      </c>
      <c r="AF18" s="7">
        <f t="shared" si="17"/>
        <v>1466.6596171254923</v>
      </c>
      <c r="AG18" s="7">
        <f t="shared" si="17"/>
        <v>147.96061099300474</v>
      </c>
      <c r="AH18" s="7">
        <f>SUM(V18:AG18)</f>
        <v>8144.7195484054409</v>
      </c>
    </row>
    <row r="19" spans="1:34" x14ac:dyDescent="0.45">
      <c r="A19" s="5" t="s">
        <v>193</v>
      </c>
      <c r="B19" s="1" t="s">
        <v>17</v>
      </c>
      <c r="C19" s="1" t="s">
        <v>334</v>
      </c>
      <c r="F19" s="3">
        <f t="shared" si="14"/>
        <v>12</v>
      </c>
      <c r="G19" s="7">
        <f t="shared" ref="G19:R29" si="18">(EXP(-G67)/(EXP(-G51)+EXP(-G67)))*G35</f>
        <v>1840.8572668753588</v>
      </c>
      <c r="H19" s="7">
        <f t="shared" si="18"/>
        <v>0</v>
      </c>
      <c r="I19" s="7">
        <f t="shared" si="18"/>
        <v>73.684951862704466</v>
      </c>
      <c r="J19" s="7">
        <f t="shared" si="18"/>
        <v>956.47801317833841</v>
      </c>
      <c r="K19" s="7">
        <f t="shared" si="18"/>
        <v>672.14600129396433</v>
      </c>
      <c r="L19" s="7">
        <f t="shared" si="18"/>
        <v>1277.8673704571952</v>
      </c>
      <c r="M19" s="7">
        <f t="shared" si="18"/>
        <v>2336.7221614417595</v>
      </c>
      <c r="N19" s="7">
        <f t="shared" si="18"/>
        <v>405.0336627453612</v>
      </c>
      <c r="O19" s="7">
        <f t="shared" si="18"/>
        <v>472.61214646053725</v>
      </c>
      <c r="P19" s="7">
        <f t="shared" si="18"/>
        <v>733.95782623625269</v>
      </c>
      <c r="Q19" s="7">
        <f t="shared" si="18"/>
        <v>188.49025058872826</v>
      </c>
      <c r="R19" s="7">
        <f t="shared" si="18"/>
        <v>2587.0963745120266</v>
      </c>
      <c r="S19" s="7">
        <f t="shared" ref="S19:S30" si="19">SUM(G19:R19)</f>
        <v>11544.946025652227</v>
      </c>
      <c r="U19" s="3">
        <f t="shared" si="16"/>
        <v>12</v>
      </c>
      <c r="V19" s="7">
        <f t="shared" ref="V19:AG29" si="20">(EXP(-V67)/(EXP(-V51)+EXP(-V67)))*V35</f>
        <v>899.10052215033897</v>
      </c>
      <c r="W19" s="7">
        <f t="shared" si="20"/>
        <v>0</v>
      </c>
      <c r="X19" s="7">
        <f t="shared" si="20"/>
        <v>8.5273892345423015</v>
      </c>
      <c r="Y19" s="7">
        <f t="shared" si="20"/>
        <v>265.06608635442592</v>
      </c>
      <c r="Z19" s="7">
        <f t="shared" si="20"/>
        <v>135.15297703568598</v>
      </c>
      <c r="AA19" s="7">
        <f t="shared" si="20"/>
        <v>537.07620434166074</v>
      </c>
      <c r="AB19" s="7">
        <f t="shared" si="20"/>
        <v>749.14601941697811</v>
      </c>
      <c r="AC19" s="7">
        <f t="shared" si="20"/>
        <v>58.855967827850016</v>
      </c>
      <c r="AD19" s="7">
        <f t="shared" si="20"/>
        <v>107.93690426840128</v>
      </c>
      <c r="AE19" s="7">
        <f t="shared" si="20"/>
        <v>141.39106455912409</v>
      </c>
      <c r="AF19" s="7">
        <f t="shared" si="20"/>
        <v>28.35118710039638</v>
      </c>
      <c r="AG19" s="7">
        <f t="shared" si="20"/>
        <v>1028.224193528727</v>
      </c>
      <c r="AH19" s="7">
        <f t="shared" ref="AH19:AH30" si="21">SUM(V19:AG19)</f>
        <v>3958.8285158181311</v>
      </c>
    </row>
    <row r="20" spans="1:34" x14ac:dyDescent="0.45">
      <c r="A20" s="5" t="s">
        <v>195</v>
      </c>
      <c r="B20" s="1" t="s">
        <v>22</v>
      </c>
      <c r="C20" s="1" t="s">
        <v>320</v>
      </c>
      <c r="D20" s="15">
        <v>0.3</v>
      </c>
      <c r="F20" s="3">
        <f t="shared" si="14"/>
        <v>29</v>
      </c>
      <c r="G20" s="7">
        <f t="shared" si="18"/>
        <v>1770.0263734056368</v>
      </c>
      <c r="H20" s="7">
        <f t="shared" si="18"/>
        <v>73.833128250974681</v>
      </c>
      <c r="I20" s="7">
        <f t="shared" si="18"/>
        <v>0</v>
      </c>
      <c r="J20" s="7">
        <f t="shared" si="18"/>
        <v>209.97259680228325</v>
      </c>
      <c r="K20" s="7">
        <f t="shared" si="18"/>
        <v>1655.2992776301844</v>
      </c>
      <c r="L20" s="7">
        <f t="shared" si="18"/>
        <v>72.473199420870614</v>
      </c>
      <c r="M20" s="7">
        <f t="shared" si="18"/>
        <v>1115.173001373704</v>
      </c>
      <c r="N20" s="7">
        <f t="shared" si="18"/>
        <v>2904.3511000774415</v>
      </c>
      <c r="O20" s="7">
        <f t="shared" si="18"/>
        <v>2379.8494838661118</v>
      </c>
      <c r="P20" s="7">
        <f t="shared" si="18"/>
        <v>2145.8901902190441</v>
      </c>
      <c r="Q20" s="7">
        <f t="shared" si="18"/>
        <v>719.49652255154956</v>
      </c>
      <c r="R20" s="7">
        <f t="shared" si="18"/>
        <v>1899.1697424476172</v>
      </c>
      <c r="S20" s="7">
        <f t="shared" si="19"/>
        <v>14945.534616045417</v>
      </c>
      <c r="U20" s="3">
        <f t="shared" si="16"/>
        <v>29</v>
      </c>
      <c r="V20" s="7">
        <f t="shared" si="20"/>
        <v>615.24475356432754</v>
      </c>
      <c r="W20" s="7">
        <f t="shared" si="20"/>
        <v>8.5274119835734385</v>
      </c>
      <c r="X20" s="7">
        <f t="shared" si="20"/>
        <v>0</v>
      </c>
      <c r="Y20" s="7">
        <f t="shared" si="20"/>
        <v>28.50519973916483</v>
      </c>
      <c r="Z20" s="7">
        <f t="shared" si="20"/>
        <v>776.08518399847094</v>
      </c>
      <c r="AA20" s="7">
        <f t="shared" si="20"/>
        <v>8.514652373760569</v>
      </c>
      <c r="AB20" s="7">
        <f t="shared" si="20"/>
        <v>222.76091134326458</v>
      </c>
      <c r="AC20" s="7">
        <f t="shared" si="20"/>
        <v>1214.2148644030765</v>
      </c>
      <c r="AD20" s="7">
        <f t="shared" si="20"/>
        <v>1121.6498769603488</v>
      </c>
      <c r="AE20" s="7">
        <f t="shared" si="20"/>
        <v>558.71669431282237</v>
      </c>
      <c r="AF20" s="7">
        <f t="shared" si="20"/>
        <v>201.9995714640217</v>
      </c>
      <c r="AG20" s="7">
        <f t="shared" si="20"/>
        <v>957.01967672347757</v>
      </c>
      <c r="AH20" s="7">
        <f t="shared" si="21"/>
        <v>5713.2387968663088</v>
      </c>
    </row>
    <row r="21" spans="1:34" x14ac:dyDescent="0.45">
      <c r="A21" s="5" t="s">
        <v>197</v>
      </c>
      <c r="B21" s="1" t="s">
        <v>22</v>
      </c>
      <c r="C21" s="1" t="s">
        <v>321</v>
      </c>
      <c r="D21" s="15">
        <v>0.1</v>
      </c>
      <c r="F21" s="3">
        <f t="shared" si="14"/>
        <v>24</v>
      </c>
      <c r="G21" s="7">
        <f t="shared" si="18"/>
        <v>202.2349689950785</v>
      </c>
      <c r="H21" s="7">
        <f t="shared" si="18"/>
        <v>977.83816299847012</v>
      </c>
      <c r="I21" s="7">
        <f t="shared" si="18"/>
        <v>214.23091641923898</v>
      </c>
      <c r="J21" s="7">
        <f t="shared" si="18"/>
        <v>0</v>
      </c>
      <c r="K21" s="7">
        <f t="shared" si="18"/>
        <v>1460.0359697558938</v>
      </c>
      <c r="L21" s="7">
        <f t="shared" si="18"/>
        <v>398.29832682550136</v>
      </c>
      <c r="M21" s="7">
        <f t="shared" si="18"/>
        <v>5054.4754865423038</v>
      </c>
      <c r="N21" s="7">
        <f t="shared" si="18"/>
        <v>1077.1575571821645</v>
      </c>
      <c r="O21" s="7">
        <f t="shared" si="18"/>
        <v>1323.8649271667775</v>
      </c>
      <c r="P21" s="7">
        <f t="shared" si="18"/>
        <v>1734.2456048686618</v>
      </c>
      <c r="Q21" s="7">
        <f t="shared" si="18"/>
        <v>1294.4551424368769</v>
      </c>
      <c r="R21" s="7">
        <f t="shared" si="18"/>
        <v>2053.789964569854</v>
      </c>
      <c r="S21" s="7">
        <f t="shared" si="19"/>
        <v>15790.627027760824</v>
      </c>
      <c r="U21" s="3">
        <f t="shared" si="16"/>
        <v>24</v>
      </c>
      <c r="V21" s="7">
        <f t="shared" si="20"/>
        <v>30.693363940615708</v>
      </c>
      <c r="W21" s="7">
        <f t="shared" si="20"/>
        <v>265.29104424984951</v>
      </c>
      <c r="X21" s="7">
        <f t="shared" si="20"/>
        <v>28.529315595761055</v>
      </c>
      <c r="Y21" s="7">
        <f t="shared" si="20"/>
        <v>0</v>
      </c>
      <c r="Z21" s="7">
        <f t="shared" si="20"/>
        <v>547.10925281422374</v>
      </c>
      <c r="AA21" s="7">
        <f t="shared" si="20"/>
        <v>74.195802034096815</v>
      </c>
      <c r="AB21" s="7">
        <f t="shared" si="20"/>
        <v>2834.5042223505657</v>
      </c>
      <c r="AC21" s="7">
        <f t="shared" si="20"/>
        <v>350.51555287827097</v>
      </c>
      <c r="AD21" s="7">
        <f t="shared" si="20"/>
        <v>433.44906584637772</v>
      </c>
      <c r="AE21" s="7">
        <f t="shared" si="20"/>
        <v>674.10971747899146</v>
      </c>
      <c r="AF21" s="7">
        <f t="shared" si="20"/>
        <v>601.55079810548716</v>
      </c>
      <c r="AG21" s="7">
        <f t="shared" si="20"/>
        <v>1108.2610446038507</v>
      </c>
      <c r="AH21" s="7">
        <f t="shared" si="21"/>
        <v>6948.2091798980891</v>
      </c>
    </row>
    <row r="22" spans="1:34" x14ac:dyDescent="0.45">
      <c r="A22" s="5" t="s">
        <v>199</v>
      </c>
      <c r="B22" s="1" t="s">
        <v>22</v>
      </c>
      <c r="C22" s="1" t="s">
        <v>322</v>
      </c>
      <c r="D22" s="15">
        <v>0.35</v>
      </c>
      <c r="F22" s="3">
        <f t="shared" si="14"/>
        <v>21</v>
      </c>
      <c r="G22" s="7">
        <f t="shared" si="18"/>
        <v>1749.5453457846477</v>
      </c>
      <c r="H22" s="7">
        <f t="shared" si="18"/>
        <v>696.6352605130711</v>
      </c>
      <c r="I22" s="7">
        <f t="shared" si="18"/>
        <v>1712.1660982309115</v>
      </c>
      <c r="J22" s="7">
        <f t="shared" si="18"/>
        <v>1480.1761325694274</v>
      </c>
      <c r="K22" s="7">
        <f t="shared" si="18"/>
        <v>0</v>
      </c>
      <c r="L22" s="7">
        <f t="shared" si="18"/>
        <v>319.01308158460847</v>
      </c>
      <c r="M22" s="7">
        <f t="shared" si="18"/>
        <v>3754.8027045869248</v>
      </c>
      <c r="N22" s="7">
        <f t="shared" si="18"/>
        <v>1341.768742834442</v>
      </c>
      <c r="O22" s="7">
        <f t="shared" si="18"/>
        <v>859.32762503301205</v>
      </c>
      <c r="P22" s="7">
        <f t="shared" si="18"/>
        <v>627.75617613866234</v>
      </c>
      <c r="Q22" s="7">
        <f t="shared" si="18"/>
        <v>208.91257433420773</v>
      </c>
      <c r="R22" s="7">
        <f t="shared" si="18"/>
        <v>454.17897313301455</v>
      </c>
      <c r="S22" s="7">
        <f t="shared" si="19"/>
        <v>13204.282714742931</v>
      </c>
      <c r="U22" s="3">
        <f t="shared" si="16"/>
        <v>21</v>
      </c>
      <c r="V22" s="7">
        <f t="shared" si="20"/>
        <v>1073.7762540646186</v>
      </c>
      <c r="W22" s="7">
        <f t="shared" si="20"/>
        <v>135.51114391460234</v>
      </c>
      <c r="X22" s="7">
        <f t="shared" si="20"/>
        <v>778.13979982293665</v>
      </c>
      <c r="Y22" s="7">
        <f t="shared" si="20"/>
        <v>548.09397911986707</v>
      </c>
      <c r="Z22" s="7">
        <f t="shared" si="20"/>
        <v>0</v>
      </c>
      <c r="AA22" s="7">
        <f t="shared" si="20"/>
        <v>81.917185542294746</v>
      </c>
      <c r="AB22" s="7">
        <f t="shared" si="20"/>
        <v>1486.6508765404471</v>
      </c>
      <c r="AC22" s="7">
        <f t="shared" si="20"/>
        <v>807.23522503123058</v>
      </c>
      <c r="AD22" s="7">
        <f t="shared" si="20"/>
        <v>276.92921574073972</v>
      </c>
      <c r="AE22" s="7">
        <f t="shared" si="20"/>
        <v>161.81132800815061</v>
      </c>
      <c r="AF22" s="7">
        <f t="shared" si="20"/>
        <v>35.979880466514082</v>
      </c>
      <c r="AG22" s="7">
        <f t="shared" si="20"/>
        <v>108.93127403610045</v>
      </c>
      <c r="AH22" s="7">
        <f t="shared" si="21"/>
        <v>5494.9761622875021</v>
      </c>
    </row>
    <row r="23" spans="1:34" x14ac:dyDescent="0.45">
      <c r="A23" s="5" t="s">
        <v>201</v>
      </c>
      <c r="B23" s="1" t="s">
        <v>22</v>
      </c>
      <c r="C23" s="1" t="s">
        <v>323</v>
      </c>
      <c r="D23" s="15">
        <v>0.15</v>
      </c>
      <c r="F23" s="3">
        <f t="shared" si="14"/>
        <v>42</v>
      </c>
      <c r="G23" s="7">
        <f t="shared" si="18"/>
        <v>172.23340685104404</v>
      </c>
      <c r="H23" s="7">
        <f t="shared" si="18"/>
        <v>1257.3367594329873</v>
      </c>
      <c r="I23" s="7">
        <f t="shared" si="18"/>
        <v>71.165712326043916</v>
      </c>
      <c r="J23" s="7">
        <f t="shared" si="18"/>
        <v>383.33839687194239</v>
      </c>
      <c r="K23" s="7">
        <f t="shared" si="18"/>
        <v>302.85342589224308</v>
      </c>
      <c r="L23" s="7">
        <f t="shared" si="18"/>
        <v>0</v>
      </c>
      <c r="M23" s="7">
        <f t="shared" si="18"/>
        <v>1259.0912694918418</v>
      </c>
      <c r="N23" s="7">
        <f t="shared" si="18"/>
        <v>765.41823735361254</v>
      </c>
      <c r="O23" s="7">
        <f t="shared" si="18"/>
        <v>691.65083699014622</v>
      </c>
      <c r="P23" s="7">
        <f t="shared" si="18"/>
        <v>1401.7515882846478</v>
      </c>
      <c r="Q23" s="7">
        <f t="shared" si="18"/>
        <v>1070.7249523232392</v>
      </c>
      <c r="R23" s="7">
        <f t="shared" si="18"/>
        <v>812.63666080374173</v>
      </c>
      <c r="S23" s="7">
        <f t="shared" si="19"/>
        <v>8188.2012466214892</v>
      </c>
      <c r="U23" s="3">
        <f t="shared" si="16"/>
        <v>42</v>
      </c>
      <c r="V23" s="7">
        <f t="shared" si="20"/>
        <v>23.367001386104693</v>
      </c>
      <c r="W23" s="7">
        <f t="shared" si="20"/>
        <v>536.07577814668366</v>
      </c>
      <c r="X23" s="7">
        <f t="shared" si="20"/>
        <v>8.4987692306168281</v>
      </c>
      <c r="Y23" s="7">
        <f t="shared" si="20"/>
        <v>73.994797177644628</v>
      </c>
      <c r="Z23" s="7">
        <f t="shared" si="20"/>
        <v>81.548485792153016</v>
      </c>
      <c r="AA23" s="7">
        <f t="shared" si="20"/>
        <v>0</v>
      </c>
      <c r="AB23" s="7">
        <f t="shared" si="20"/>
        <v>413.36361826970528</v>
      </c>
      <c r="AC23" s="7">
        <f t="shared" si="20"/>
        <v>254.90476605813555</v>
      </c>
      <c r="AD23" s="7">
        <f t="shared" si="20"/>
        <v>134.21677794571829</v>
      </c>
      <c r="AE23" s="7">
        <f t="shared" si="20"/>
        <v>370.85519458896715</v>
      </c>
      <c r="AF23" s="7">
        <f t="shared" si="20"/>
        <v>372.7124592754879</v>
      </c>
      <c r="AG23" s="7">
        <f t="shared" si="20"/>
        <v>249.57938519156386</v>
      </c>
      <c r="AH23" s="7">
        <f t="shared" si="21"/>
        <v>2519.1170330627806</v>
      </c>
    </row>
    <row r="24" spans="1:34" x14ac:dyDescent="0.45">
      <c r="A24" s="5" t="s">
        <v>203</v>
      </c>
      <c r="B24" s="1" t="s">
        <v>326</v>
      </c>
      <c r="C24" s="1" t="s">
        <v>327</v>
      </c>
      <c r="D24" s="1">
        <v>30</v>
      </c>
      <c r="F24" s="3">
        <f t="shared" si="14"/>
        <v>43</v>
      </c>
      <c r="G24" s="7">
        <f t="shared" si="18"/>
        <v>3048.5516726476981</v>
      </c>
      <c r="H24" s="7">
        <f t="shared" si="18"/>
        <v>2322.3651916292474</v>
      </c>
      <c r="I24" s="7">
        <f t="shared" si="18"/>
        <v>1106.0970071278855</v>
      </c>
      <c r="J24" s="7">
        <f t="shared" si="18"/>
        <v>4913.6875708244988</v>
      </c>
      <c r="K24" s="7">
        <f t="shared" si="18"/>
        <v>3600.5489924373483</v>
      </c>
      <c r="L24" s="7">
        <f t="shared" si="18"/>
        <v>1271.7882749279336</v>
      </c>
      <c r="M24" s="7">
        <f t="shared" si="18"/>
        <v>0</v>
      </c>
      <c r="N24" s="7">
        <f t="shared" si="18"/>
        <v>1787.8835072843228</v>
      </c>
      <c r="O24" s="7">
        <f t="shared" si="18"/>
        <v>155.93477925610398</v>
      </c>
      <c r="P24" s="7">
        <f t="shared" si="18"/>
        <v>1293.4805688417048</v>
      </c>
      <c r="Q24" s="7">
        <f t="shared" si="18"/>
        <v>3210.6302043965193</v>
      </c>
      <c r="R24" s="7">
        <f t="shared" si="18"/>
        <v>2201.7946649136679</v>
      </c>
      <c r="S24" s="7">
        <f t="shared" si="19"/>
        <v>24912.762434286931</v>
      </c>
      <c r="U24" s="3">
        <f t="shared" si="16"/>
        <v>43</v>
      </c>
      <c r="V24" s="7">
        <f t="shared" si="20"/>
        <v>1505.3484862523685</v>
      </c>
      <c r="W24" s="7">
        <f t="shared" si="20"/>
        <v>747.11929318847888</v>
      </c>
      <c r="X24" s="7">
        <f t="shared" si="20"/>
        <v>222.15766529852755</v>
      </c>
      <c r="Y24" s="7">
        <f t="shared" si="20"/>
        <v>2824.4387435548515</v>
      </c>
      <c r="Z24" s="7">
        <f t="shared" si="20"/>
        <v>1478.7102101089899</v>
      </c>
      <c r="AA24" s="7">
        <f t="shared" si="20"/>
        <v>413.01464515164821</v>
      </c>
      <c r="AB24" s="7">
        <f t="shared" si="20"/>
        <v>0</v>
      </c>
      <c r="AC24" s="7">
        <f t="shared" si="20"/>
        <v>448.33444103673725</v>
      </c>
      <c r="AD24" s="7">
        <f t="shared" si="20"/>
        <v>13.337737452091041</v>
      </c>
      <c r="AE24" s="7">
        <f t="shared" si="20"/>
        <v>257.05350332222997</v>
      </c>
      <c r="AF24" s="7">
        <f t="shared" si="20"/>
        <v>1190.5736468121504</v>
      </c>
      <c r="AG24" s="7">
        <f t="shared" si="20"/>
        <v>538.74172677275999</v>
      </c>
      <c r="AH24" s="7">
        <f t="shared" si="21"/>
        <v>9638.8300989508334</v>
      </c>
    </row>
    <row r="25" spans="1:34" x14ac:dyDescent="0.45">
      <c r="A25" s="5" t="s">
        <v>205</v>
      </c>
      <c r="B25" s="1" t="s">
        <v>326</v>
      </c>
      <c r="C25" s="1" t="s">
        <v>328</v>
      </c>
      <c r="D25" s="1">
        <v>20</v>
      </c>
      <c r="F25" s="3">
        <f t="shared" si="14"/>
        <v>31</v>
      </c>
      <c r="G25" s="7">
        <f t="shared" si="18"/>
        <v>1326.7634271137335</v>
      </c>
      <c r="H25" s="7">
        <f t="shared" si="18"/>
        <v>407.6837627139721</v>
      </c>
      <c r="I25" s="7">
        <f t="shared" si="18"/>
        <v>2917.4871100714363</v>
      </c>
      <c r="J25" s="7">
        <f t="shared" si="18"/>
        <v>1060.5216440416875</v>
      </c>
      <c r="K25" s="7">
        <f t="shared" si="18"/>
        <v>1303.0711585138083</v>
      </c>
      <c r="L25" s="7">
        <f t="shared" si="18"/>
        <v>783.00632311388142</v>
      </c>
      <c r="M25" s="7">
        <f t="shared" si="18"/>
        <v>1810.7065698208251</v>
      </c>
      <c r="N25" s="7">
        <f t="shared" si="18"/>
        <v>0</v>
      </c>
      <c r="O25" s="7">
        <f t="shared" si="18"/>
        <v>661.24096376686566</v>
      </c>
      <c r="P25" s="7">
        <f t="shared" si="18"/>
        <v>1057.0387569969564</v>
      </c>
      <c r="Q25" s="7">
        <f t="shared" si="18"/>
        <v>921.73837935175402</v>
      </c>
      <c r="R25" s="7">
        <f t="shared" si="18"/>
        <v>88.095787264632563</v>
      </c>
      <c r="S25" s="7">
        <f t="shared" si="19"/>
        <v>12337.353882769554</v>
      </c>
      <c r="U25" s="3">
        <f t="shared" si="16"/>
        <v>31</v>
      </c>
      <c r="V25" s="7">
        <f t="shared" si="20"/>
        <v>587.90936020316497</v>
      </c>
      <c r="W25" s="7">
        <f t="shared" si="20"/>
        <v>58.850063062870461</v>
      </c>
      <c r="X25" s="7">
        <f t="shared" si="20"/>
        <v>1214.0898085707572</v>
      </c>
      <c r="Y25" s="7">
        <f t="shared" si="20"/>
        <v>350.1831915701294</v>
      </c>
      <c r="Z25" s="7">
        <f t="shared" si="20"/>
        <v>805.02086487932377</v>
      </c>
      <c r="AA25" s="7">
        <f t="shared" si="20"/>
        <v>255.35484886354376</v>
      </c>
      <c r="AB25" s="7">
        <f t="shared" si="20"/>
        <v>449.50554583510814</v>
      </c>
      <c r="AC25" s="7">
        <f t="shared" si="20"/>
        <v>0</v>
      </c>
      <c r="AD25" s="7">
        <f t="shared" si="20"/>
        <v>142.74351363836965</v>
      </c>
      <c r="AE25" s="7">
        <f t="shared" si="20"/>
        <v>284.75952585673843</v>
      </c>
      <c r="AF25" s="7">
        <f t="shared" si="20"/>
        <v>235.02554783438484</v>
      </c>
      <c r="AG25" s="7">
        <f t="shared" si="20"/>
        <v>10.210795854783727</v>
      </c>
      <c r="AH25" s="7">
        <f t="shared" si="21"/>
        <v>4393.653066169175</v>
      </c>
    </row>
    <row r="26" spans="1:34" x14ac:dyDescent="0.45">
      <c r="A26" s="5" t="s">
        <v>207</v>
      </c>
      <c r="B26" s="1" t="s">
        <v>326</v>
      </c>
      <c r="C26" s="1" t="s">
        <v>341</v>
      </c>
      <c r="D26" s="1">
        <v>20</v>
      </c>
      <c r="F26" s="3">
        <f t="shared" si="14"/>
        <v>33</v>
      </c>
      <c r="G26" s="7">
        <f t="shared" si="18"/>
        <v>2284.2177474576706</v>
      </c>
      <c r="H26" s="7">
        <f t="shared" si="18"/>
        <v>462.05713549690415</v>
      </c>
      <c r="I26" s="7">
        <f t="shared" si="18"/>
        <v>2322.0300053215169</v>
      </c>
      <c r="J26" s="7">
        <f t="shared" si="18"/>
        <v>1266.0255993260394</v>
      </c>
      <c r="K26" s="7">
        <f t="shared" si="18"/>
        <v>810.60213314103362</v>
      </c>
      <c r="L26" s="7">
        <f t="shared" si="18"/>
        <v>687.245456307072</v>
      </c>
      <c r="M26" s="7">
        <f t="shared" si="18"/>
        <v>153.39470056624469</v>
      </c>
      <c r="N26" s="7">
        <f t="shared" si="18"/>
        <v>642.27091735462375</v>
      </c>
      <c r="O26" s="7">
        <f t="shared" si="18"/>
        <v>0</v>
      </c>
      <c r="P26" s="7">
        <f t="shared" si="18"/>
        <v>82.29246810012593</v>
      </c>
      <c r="Q26" s="7">
        <f t="shared" si="18"/>
        <v>2442.1767590994691</v>
      </c>
      <c r="R26" s="7">
        <f t="shared" si="18"/>
        <v>596.21023592361507</v>
      </c>
      <c r="S26" s="7">
        <f t="shared" si="19"/>
        <v>11748.523158094318</v>
      </c>
      <c r="U26" s="3">
        <f t="shared" si="16"/>
        <v>33</v>
      </c>
      <c r="V26" s="7">
        <f t="shared" si="20"/>
        <v>1742.6585857874186</v>
      </c>
      <c r="W26" s="7">
        <f t="shared" si="20"/>
        <v>107.59864729985343</v>
      </c>
      <c r="X26" s="7">
        <f t="shared" si="20"/>
        <v>1118.1318230050538</v>
      </c>
      <c r="Y26" s="7">
        <f t="shared" si="20"/>
        <v>431.72430749792119</v>
      </c>
      <c r="Z26" s="7">
        <f t="shared" si="20"/>
        <v>275.33171149511566</v>
      </c>
      <c r="AA26" s="7">
        <f t="shared" si="20"/>
        <v>134.04585485776713</v>
      </c>
      <c r="AB26" s="7">
        <f t="shared" si="20"/>
        <v>13.332007293206582</v>
      </c>
      <c r="AC26" s="7">
        <f t="shared" si="20"/>
        <v>142.31045572461576</v>
      </c>
      <c r="AD26" s="7">
        <f t="shared" si="20"/>
        <v>0</v>
      </c>
      <c r="AE26" s="7">
        <f t="shared" si="20"/>
        <v>7.2012458693436683</v>
      </c>
      <c r="AF26" s="7">
        <f t="shared" si="20"/>
        <v>1222.574729754381</v>
      </c>
      <c r="AG26" s="7">
        <f t="shared" si="20"/>
        <v>111.16871288117439</v>
      </c>
      <c r="AH26" s="7">
        <f t="shared" si="21"/>
        <v>5306.078081465851</v>
      </c>
    </row>
    <row r="27" spans="1:34" x14ac:dyDescent="0.45">
      <c r="A27" s="5" t="s">
        <v>209</v>
      </c>
      <c r="B27" s="1" t="s">
        <v>326</v>
      </c>
      <c r="C27" s="1" t="s">
        <v>342</v>
      </c>
      <c r="D27" s="1">
        <v>10</v>
      </c>
      <c r="F27" s="3">
        <f t="shared" si="14"/>
        <v>30</v>
      </c>
      <c r="G27" s="7">
        <f t="shared" si="18"/>
        <v>242.86758355783135</v>
      </c>
      <c r="H27" s="7">
        <f t="shared" si="18"/>
        <v>737.66157919342959</v>
      </c>
      <c r="I27" s="7">
        <f t="shared" si="18"/>
        <v>2152.3906028259421</v>
      </c>
      <c r="J27" s="7">
        <f t="shared" si="18"/>
        <v>1704.9226056633681</v>
      </c>
      <c r="K27" s="7">
        <f t="shared" si="18"/>
        <v>608.74473636697496</v>
      </c>
      <c r="L27" s="7">
        <f t="shared" si="18"/>
        <v>1431.8294249873263</v>
      </c>
      <c r="M27" s="7">
        <f t="shared" si="18"/>
        <v>1308.0445363271606</v>
      </c>
      <c r="N27" s="7">
        <f t="shared" si="18"/>
        <v>1055.4670362805557</v>
      </c>
      <c r="O27" s="7">
        <f t="shared" si="18"/>
        <v>84.597074314475279</v>
      </c>
      <c r="P27" s="7">
        <f t="shared" si="18"/>
        <v>0</v>
      </c>
      <c r="Q27" s="7">
        <f t="shared" si="18"/>
        <v>3579.7038359647231</v>
      </c>
      <c r="R27" s="7">
        <f t="shared" si="18"/>
        <v>1178.4375669408744</v>
      </c>
      <c r="S27" s="7">
        <f t="shared" si="19"/>
        <v>14084.666582422662</v>
      </c>
      <c r="U27" s="3">
        <f t="shared" si="16"/>
        <v>30</v>
      </c>
      <c r="V27" s="7">
        <f t="shared" si="20"/>
        <v>51.439436765797645</v>
      </c>
      <c r="W27" s="7">
        <f t="shared" si="20"/>
        <v>141.0883756006929</v>
      </c>
      <c r="X27" s="7">
        <f t="shared" si="20"/>
        <v>557.51911036654474</v>
      </c>
      <c r="Y27" s="7">
        <f t="shared" si="20"/>
        <v>672.09618964420167</v>
      </c>
      <c r="Z27" s="7">
        <f t="shared" si="20"/>
        <v>161.03815868798253</v>
      </c>
      <c r="AA27" s="7">
        <f t="shared" si="20"/>
        <v>370.7518799289216</v>
      </c>
      <c r="AB27" s="7">
        <f t="shared" si="20"/>
        <v>257.19902670161895</v>
      </c>
      <c r="AC27" s="7">
        <f t="shared" si="20"/>
        <v>284.17842513705085</v>
      </c>
      <c r="AD27" s="7">
        <f t="shared" si="20"/>
        <v>7.2084195269235076</v>
      </c>
      <c r="AE27" s="7">
        <f t="shared" si="20"/>
        <v>0</v>
      </c>
      <c r="AF27" s="7">
        <f t="shared" si="20"/>
        <v>1842.36014733362</v>
      </c>
      <c r="AG27" s="7">
        <f t="shared" si="20"/>
        <v>362.11752672986535</v>
      </c>
      <c r="AH27" s="7">
        <f t="shared" si="21"/>
        <v>4706.996696423219</v>
      </c>
    </row>
    <row r="28" spans="1:34" x14ac:dyDescent="0.45">
      <c r="A28" s="5" t="s">
        <v>211</v>
      </c>
      <c r="B28" s="1" t="s">
        <v>326</v>
      </c>
      <c r="C28" s="1" t="s">
        <v>343</v>
      </c>
      <c r="D28" s="1">
        <v>20</v>
      </c>
      <c r="F28" s="3">
        <f t="shared" si="14"/>
        <v>18</v>
      </c>
      <c r="G28" s="7">
        <f t="shared" si="18"/>
        <v>2101.4895454928287</v>
      </c>
      <c r="H28" s="7">
        <f t="shared" si="18"/>
        <v>191.05538457510204</v>
      </c>
      <c r="I28" s="7">
        <f t="shared" si="18"/>
        <v>727.82442193707209</v>
      </c>
      <c r="J28" s="7">
        <f t="shared" si="18"/>
        <v>1283.409955322335</v>
      </c>
      <c r="K28" s="7">
        <f t="shared" si="18"/>
        <v>204.31165302508981</v>
      </c>
      <c r="L28" s="7">
        <f t="shared" si="18"/>
        <v>1103.0177010726457</v>
      </c>
      <c r="M28" s="7">
        <f t="shared" si="18"/>
        <v>3274.4415400845278</v>
      </c>
      <c r="N28" s="7">
        <f t="shared" si="18"/>
        <v>928.2089805714503</v>
      </c>
      <c r="O28" s="7">
        <f t="shared" si="18"/>
        <v>2531.9590761747959</v>
      </c>
      <c r="P28" s="7">
        <f t="shared" si="18"/>
        <v>3610.2013902152453</v>
      </c>
      <c r="Q28" s="7">
        <f t="shared" si="18"/>
        <v>0</v>
      </c>
      <c r="R28" s="7">
        <f t="shared" si="18"/>
        <v>916.88333561693366</v>
      </c>
      <c r="S28" s="7">
        <f t="shared" si="19"/>
        <v>16872.802984088023</v>
      </c>
      <c r="U28" s="3">
        <f t="shared" si="16"/>
        <v>18</v>
      </c>
      <c r="V28" s="7">
        <f t="shared" si="20"/>
        <v>1468.8490173522</v>
      </c>
      <c r="W28" s="7">
        <f t="shared" si="20"/>
        <v>28.365935903711094</v>
      </c>
      <c r="X28" s="7">
        <f t="shared" si="20"/>
        <v>202.10411615066459</v>
      </c>
      <c r="Y28" s="7">
        <f t="shared" si="20"/>
        <v>601.3533755408431</v>
      </c>
      <c r="Z28" s="7">
        <f t="shared" si="20"/>
        <v>35.903450658396594</v>
      </c>
      <c r="AA28" s="7">
        <f t="shared" si="20"/>
        <v>373.60227000738854</v>
      </c>
      <c r="AB28" s="7">
        <f t="shared" si="20"/>
        <v>1194.4243792139864</v>
      </c>
      <c r="AC28" s="7">
        <f t="shared" si="20"/>
        <v>235.17140613129871</v>
      </c>
      <c r="AD28" s="7">
        <f t="shared" si="20"/>
        <v>1227.0561327398179</v>
      </c>
      <c r="AE28" s="7">
        <f t="shared" si="20"/>
        <v>1847.2732055877088</v>
      </c>
      <c r="AF28" s="7">
        <f t="shared" si="20"/>
        <v>0</v>
      </c>
      <c r="AG28" s="7">
        <f t="shared" si="20"/>
        <v>220.89073930967425</v>
      </c>
      <c r="AH28" s="7">
        <f t="shared" si="21"/>
        <v>7434.99402859569</v>
      </c>
    </row>
    <row r="29" spans="1:34" x14ac:dyDescent="0.45">
      <c r="A29" s="5" t="s">
        <v>213</v>
      </c>
      <c r="B29" s="1" t="s">
        <v>326</v>
      </c>
      <c r="C29" s="1" t="s">
        <v>344</v>
      </c>
      <c r="D29" s="1">
        <v>10</v>
      </c>
      <c r="F29" s="3">
        <f t="shared" si="14"/>
        <v>40</v>
      </c>
      <c r="G29" s="7">
        <f t="shared" si="18"/>
        <v>708.55478631389406</v>
      </c>
      <c r="H29" s="7">
        <f t="shared" si="18"/>
        <v>2580.622716334899</v>
      </c>
      <c r="I29" s="7">
        <f t="shared" si="18"/>
        <v>1890.6155503271614</v>
      </c>
      <c r="J29" s="7">
        <f t="shared" si="18"/>
        <v>2003.8995342684684</v>
      </c>
      <c r="K29" s="7">
        <f t="shared" si="18"/>
        <v>437.11639827015017</v>
      </c>
      <c r="L29" s="7">
        <f t="shared" si="18"/>
        <v>823.83926604151588</v>
      </c>
      <c r="M29" s="7">
        <f t="shared" si="18"/>
        <v>2209.8626793510853</v>
      </c>
      <c r="N29" s="7">
        <f t="shared" si="18"/>
        <v>87.304123031610231</v>
      </c>
      <c r="O29" s="7">
        <f t="shared" si="18"/>
        <v>608.30380653845305</v>
      </c>
      <c r="P29" s="7">
        <f t="shared" si="18"/>
        <v>1169.5867215676371</v>
      </c>
      <c r="Q29" s="7">
        <f t="shared" si="18"/>
        <v>902.30964108070293</v>
      </c>
      <c r="R29" s="7">
        <f t="shared" si="18"/>
        <v>0</v>
      </c>
      <c r="S29" s="7">
        <f t="shared" si="19"/>
        <v>13422.015223125578</v>
      </c>
      <c r="U29" s="3">
        <f t="shared" si="16"/>
        <v>40</v>
      </c>
      <c r="V29" s="7">
        <f t="shared" si="20"/>
        <v>148.15683480414091</v>
      </c>
      <c r="W29" s="7">
        <f t="shared" si="20"/>
        <v>1028.5879683803785</v>
      </c>
      <c r="X29" s="7">
        <f t="shared" si="20"/>
        <v>957.35570617407222</v>
      </c>
      <c r="Y29" s="7">
        <f t="shared" si="20"/>
        <v>1107.7130350237899</v>
      </c>
      <c r="Z29" s="7">
        <f t="shared" si="20"/>
        <v>108.68179676867179</v>
      </c>
      <c r="AA29" s="7">
        <f t="shared" si="20"/>
        <v>250.13361430629359</v>
      </c>
      <c r="AB29" s="7">
        <f t="shared" si="20"/>
        <v>540.39430096817591</v>
      </c>
      <c r="AC29" s="7">
        <f t="shared" si="20"/>
        <v>10.215433196711507</v>
      </c>
      <c r="AD29" s="7">
        <f t="shared" si="20"/>
        <v>111.55764699304515</v>
      </c>
      <c r="AE29" s="7">
        <f t="shared" si="20"/>
        <v>363.02279663523575</v>
      </c>
      <c r="AF29" s="7">
        <f t="shared" si="20"/>
        <v>220.85399585191752</v>
      </c>
      <c r="AG29" s="7">
        <f t="shared" si="20"/>
        <v>0</v>
      </c>
      <c r="AH29" s="7">
        <f t="shared" si="21"/>
        <v>4846.6731291024325</v>
      </c>
    </row>
    <row r="30" spans="1:34" x14ac:dyDescent="0.45">
      <c r="A30" s="5" t="s">
        <v>215</v>
      </c>
      <c r="B30" s="1" t="s">
        <v>326</v>
      </c>
      <c r="C30" s="1" t="s">
        <v>345</v>
      </c>
      <c r="D30" s="1">
        <v>60</v>
      </c>
      <c r="F30" s="3" t="s">
        <v>329</v>
      </c>
      <c r="G30" s="7">
        <f>SUM(G18:G29)</f>
        <v>15447.342124495422</v>
      </c>
      <c r="H30" s="7">
        <f t="shared" ref="H30:R30" si="22">SUM(H18:H29)</f>
        <v>11552.605148454535</v>
      </c>
      <c r="I30" s="7">
        <f t="shared" si="22"/>
        <v>14958.63702070941</v>
      </c>
      <c r="J30" s="7">
        <f t="shared" si="22"/>
        <v>15460.749976471083</v>
      </c>
      <c r="K30" s="7">
        <f t="shared" si="22"/>
        <v>12747.044279955811</v>
      </c>
      <c r="L30" s="7">
        <f t="shared" si="22"/>
        <v>8343.8671723538118</v>
      </c>
      <c r="M30" s="7">
        <f t="shared" si="22"/>
        <v>25351.875512929015</v>
      </c>
      <c r="N30" s="7">
        <f t="shared" si="22"/>
        <v>12316.33874008434</v>
      </c>
      <c r="O30" s="7">
        <f t="shared" si="22"/>
        <v>12111.650940719774</v>
      </c>
      <c r="P30" s="7">
        <f t="shared" si="22"/>
        <v>14098.461009744824</v>
      </c>
      <c r="Q30" s="7">
        <f t="shared" si="22"/>
        <v>16617.159937906938</v>
      </c>
      <c r="R30" s="7">
        <f t="shared" si="22"/>
        <v>13500.423240690963</v>
      </c>
      <c r="S30" s="7">
        <f t="shared" si="19"/>
        <v>172506.1551045159</v>
      </c>
      <c r="U30" s="3" t="s">
        <v>329</v>
      </c>
      <c r="V30" s="7">
        <f>SUM(V18:V29)</f>
        <v>8146.5436162710967</v>
      </c>
      <c r="W30" s="7">
        <f t="shared" ref="W30:AG30" si="23">SUM(W18:W29)</f>
        <v>3955.2430563884291</v>
      </c>
      <c r="X30" s="7">
        <f t="shared" si="23"/>
        <v>5709.6991455958805</v>
      </c>
      <c r="Y30" s="7">
        <f t="shared" si="23"/>
        <v>6933.8064607963806</v>
      </c>
      <c r="Z30" s="7">
        <f t="shared" si="23"/>
        <v>5474.4802679544628</v>
      </c>
      <c r="AA30" s="7">
        <f t="shared" si="23"/>
        <v>2521.9948320321087</v>
      </c>
      <c r="AB30" s="7">
        <f t="shared" si="23"/>
        <v>9669.2471567858411</v>
      </c>
      <c r="AC30" s="7">
        <f t="shared" si="23"/>
        <v>4393.3339027116472</v>
      </c>
      <c r="AD30" s="7">
        <f t="shared" si="23"/>
        <v>5322.5246209871493</v>
      </c>
      <c r="AE30" s="7">
        <f t="shared" si="23"/>
        <v>4717.6940097736242</v>
      </c>
      <c r="AF30" s="7">
        <f t="shared" si="23"/>
        <v>7418.6415811238548</v>
      </c>
      <c r="AG30" s="7">
        <f t="shared" si="23"/>
        <v>4843.1056866249819</v>
      </c>
      <c r="AH30" s="7">
        <f t="shared" si="21"/>
        <v>69106.314337045449</v>
      </c>
    </row>
    <row r="31" spans="1:34" x14ac:dyDescent="0.45">
      <c r="A31" s="5" t="s">
        <v>217</v>
      </c>
      <c r="B31" s="1" t="s">
        <v>326</v>
      </c>
      <c r="C31" s="1" t="s">
        <v>346</v>
      </c>
      <c r="D31" s="1">
        <v>50</v>
      </c>
    </row>
    <row r="33" spans="6:34" x14ac:dyDescent="0.45">
      <c r="F33" s="4" t="s">
        <v>163</v>
      </c>
      <c r="G33" s="3">
        <f>NetNum!T2</f>
        <v>9</v>
      </c>
      <c r="H33" s="3">
        <f>NetNum!T3</f>
        <v>12</v>
      </c>
      <c r="I33" s="3">
        <f>NetNum!T4</f>
        <v>29</v>
      </c>
      <c r="J33" s="3">
        <f>NetNum!T5</f>
        <v>24</v>
      </c>
      <c r="K33" s="3">
        <f>NetNum!T6</f>
        <v>21</v>
      </c>
      <c r="L33" s="3">
        <f>NetNum!T7</f>
        <v>42</v>
      </c>
      <c r="M33" s="3">
        <f>NetNum!T8</f>
        <v>43</v>
      </c>
      <c r="N33" s="3">
        <f>NetNum!T9</f>
        <v>31</v>
      </c>
      <c r="O33" s="3">
        <f>NetNum!T10</f>
        <v>33</v>
      </c>
      <c r="P33" s="3">
        <f>NetNum!T11</f>
        <v>30</v>
      </c>
      <c r="Q33" s="3">
        <f>NetNum!T12</f>
        <v>18</v>
      </c>
      <c r="R33" s="3">
        <f>NetNum!T13</f>
        <v>40</v>
      </c>
      <c r="S33" s="3" t="s">
        <v>329</v>
      </c>
      <c r="U33" s="4" t="s">
        <v>181</v>
      </c>
      <c r="V33" s="3">
        <f>NetNum!T2</f>
        <v>9</v>
      </c>
      <c r="W33" s="3">
        <f>NetNum!T3</f>
        <v>12</v>
      </c>
      <c r="X33" s="3">
        <f>NetNum!T4</f>
        <v>29</v>
      </c>
      <c r="Y33" s="3">
        <f>NetNum!T5</f>
        <v>24</v>
      </c>
      <c r="Z33" s="3">
        <f>NetNum!T6</f>
        <v>21</v>
      </c>
      <c r="AA33" s="3">
        <f>NetNum!T7</f>
        <v>42</v>
      </c>
      <c r="AB33" s="3">
        <f>NetNum!T8</f>
        <v>43</v>
      </c>
      <c r="AC33" s="3">
        <f>NetNum!T9</f>
        <v>31</v>
      </c>
      <c r="AD33" s="3">
        <f>NetNum!T10</f>
        <v>33</v>
      </c>
      <c r="AE33" s="3">
        <f>NetNum!T11</f>
        <v>30</v>
      </c>
      <c r="AF33" s="3">
        <f>NetNum!T12</f>
        <v>18</v>
      </c>
      <c r="AG33" s="3">
        <f>NetNum!T13</f>
        <v>40</v>
      </c>
      <c r="AH33" s="3" t="s">
        <v>329</v>
      </c>
    </row>
    <row r="34" spans="6:34" x14ac:dyDescent="0.45">
      <c r="F34" s="3">
        <f>NetNum!T2</f>
        <v>9</v>
      </c>
      <c r="G34" s="7">
        <f>Dist!G2</f>
        <v>0</v>
      </c>
      <c r="H34" s="7">
        <f>Dist!H2</f>
        <v>3885.1267537538865</v>
      </c>
      <c r="I34" s="7">
        <f>Dist!I2</f>
        <v>4161.4698700427307</v>
      </c>
      <c r="J34" s="7">
        <f>Dist!J2</f>
        <v>1663.7002200826605</v>
      </c>
      <c r="K34" s="7">
        <f>Dist!K2</f>
        <v>2621.0764416158177</v>
      </c>
      <c r="L34" s="7">
        <f>Dist!L2</f>
        <v>1237.1338046589401</v>
      </c>
      <c r="M34" s="7">
        <f>Dist!M2</f>
        <v>5353.2960624341922</v>
      </c>
      <c r="N34" s="7">
        <f>Dist!N2</f>
        <v>2403.4069952530522</v>
      </c>
      <c r="O34" s="7">
        <f>Dist!O2</f>
        <v>3294.6224907733908</v>
      </c>
      <c r="P34" s="7">
        <f>Dist!P2</f>
        <v>2220.5937406875501</v>
      </c>
      <c r="Q34" s="7">
        <f>Dist!Q2</f>
        <v>2644.9849149393244</v>
      </c>
      <c r="R34" s="7">
        <f>Dist!R2</f>
        <v>2463.6869371690159</v>
      </c>
      <c r="S34" s="7">
        <f>SUM(G34:R34)</f>
        <v>31949.09823141056</v>
      </c>
      <c r="U34" s="3">
        <f>NetNum!T2</f>
        <v>9</v>
      </c>
      <c r="V34" s="7">
        <f>Dist!Y2</f>
        <v>0</v>
      </c>
      <c r="W34" s="7">
        <f>Dist!Z2</f>
        <v>4363.0726791819106</v>
      </c>
      <c r="X34" s="7">
        <f>Dist!AA2</f>
        <v>4523.6809965512466</v>
      </c>
      <c r="Y34" s="7">
        <f>Dist!AB2</f>
        <v>1400.1725796902022</v>
      </c>
      <c r="Z34" s="7">
        <f>Dist!AC2</f>
        <v>3019.3797561900801</v>
      </c>
      <c r="AA34" s="7">
        <f>Dist!AD2</f>
        <v>969.3643579064011</v>
      </c>
      <c r="AB34" s="7">
        <f>Dist!AE2</f>
        <v>5407.1291444337103</v>
      </c>
      <c r="AC34" s="7">
        <f>Dist!AF2</f>
        <v>2352.036572636538</v>
      </c>
      <c r="AD34" s="7">
        <f>Dist!AG2</f>
        <v>3775.5123461718954</v>
      </c>
      <c r="AE34" s="7">
        <f>Dist!AH2</f>
        <v>1844.3763083074716</v>
      </c>
      <c r="AF34" s="7">
        <f>Dist!AI2</f>
        <v>2608.8952754420329</v>
      </c>
      <c r="AG34" s="7">
        <f>Dist!AJ2</f>
        <v>2242.2008169814108</v>
      </c>
      <c r="AH34" s="7">
        <f>SUM(V34:AG34)</f>
        <v>32505.820833492897</v>
      </c>
    </row>
    <row r="35" spans="6:34" x14ac:dyDescent="0.45">
      <c r="F35" s="3">
        <f>NetNum!T3</f>
        <v>12</v>
      </c>
      <c r="G35" s="7">
        <f>Dist!G3</f>
        <v>3875.3191825542299</v>
      </c>
      <c r="H35" s="7">
        <f>Dist!H3</f>
        <v>0</v>
      </c>
      <c r="I35" s="7">
        <f>Dist!I3</f>
        <v>2513.7954353506539</v>
      </c>
      <c r="J35" s="7">
        <f>Dist!J3</f>
        <v>6742.8328003694005</v>
      </c>
      <c r="K35" s="7">
        <f>Dist!K3</f>
        <v>3138.4490839955097</v>
      </c>
      <c r="L35" s="7">
        <f>Dist!L3</f>
        <v>2324.0966850053965</v>
      </c>
      <c r="M35" s="7">
        <f>Dist!M3</f>
        <v>11812.597793045601</v>
      </c>
      <c r="N35" s="7">
        <f>Dist!N3</f>
        <v>3397.8501187261922</v>
      </c>
      <c r="O35" s="7">
        <f>Dist!O3</f>
        <v>2813.475432042555</v>
      </c>
      <c r="P35" s="7">
        <f>Dist!P3</f>
        <v>5174.1439287124394</v>
      </c>
      <c r="Q35" s="7">
        <f>Dist!Q3</f>
        <v>5836.4309771883172</v>
      </c>
      <c r="R35" s="7">
        <f>Dist!R3</f>
        <v>6079.3112016950272</v>
      </c>
      <c r="S35" s="7">
        <f t="shared" ref="S35:S45" si="24">SUM(G35:R35)</f>
        <v>53708.302638685323</v>
      </c>
      <c r="U35" s="3">
        <f>NetNum!T3</f>
        <v>12</v>
      </c>
      <c r="V35" s="7">
        <f>Dist!Y3</f>
        <v>4367.3138309560418</v>
      </c>
      <c r="W35" s="7">
        <f>Dist!Z3</f>
        <v>0</v>
      </c>
      <c r="X35" s="7">
        <f>Dist!AA3</f>
        <v>1633.5601353555589</v>
      </c>
      <c r="Y35" s="7">
        <f>Dist!AB3</f>
        <v>8207.532817050409</v>
      </c>
      <c r="Z35" s="7">
        <f>Dist!AC3</f>
        <v>2988.9546368759138</v>
      </c>
      <c r="AA35" s="7">
        <f>Dist!AD3</f>
        <v>1858.0705074687758</v>
      </c>
      <c r="AB35" s="7">
        <f>Dist!AE3</f>
        <v>13068.587688702604</v>
      </c>
      <c r="AC35" s="7">
        <f>Dist!AF3</f>
        <v>2966.4849229999381</v>
      </c>
      <c r="AD35" s="7">
        <f>Dist!AG3</f>
        <v>2275.9075803259475</v>
      </c>
      <c r="AE35" s="7">
        <f>Dist!AH3</f>
        <v>4823.6200703551531</v>
      </c>
      <c r="AF35" s="7">
        <f>Dist!AI3</f>
        <v>6305.4859181335278</v>
      </c>
      <c r="AG35" s="7">
        <f>Dist!AJ3</f>
        <v>6382.1668270510791</v>
      </c>
      <c r="AH35" s="7">
        <f t="shared" ref="AH35:AH45" si="25">SUM(V35:AG35)</f>
        <v>54877.684935274949</v>
      </c>
    </row>
    <row r="36" spans="6:34" x14ac:dyDescent="0.45">
      <c r="F36" s="3">
        <f>NetNum!T4</f>
        <v>29</v>
      </c>
      <c r="G36" s="7">
        <f>Dist!G4</f>
        <v>4159.3120631890488</v>
      </c>
      <c r="H36" s="7">
        <f>Dist!H4</f>
        <v>2518.8505398060993</v>
      </c>
      <c r="I36" s="7">
        <f>Dist!I4</f>
        <v>0</v>
      </c>
      <c r="J36" s="7">
        <f>Dist!J4</f>
        <v>3036.9886346772573</v>
      </c>
      <c r="K36" s="7">
        <f>Dist!K4</f>
        <v>2328.2937417051476</v>
      </c>
      <c r="L36" s="7">
        <f>Dist!L4</f>
        <v>5413.7330454886951</v>
      </c>
      <c r="M36" s="7">
        <f>Dist!M4</f>
        <v>6638.6610359876759</v>
      </c>
      <c r="N36" s="7">
        <f>Dist!N4</f>
        <v>5808.702200154883</v>
      </c>
      <c r="O36" s="7">
        <f>Dist!O4</f>
        <v>6303.5579489808915</v>
      </c>
      <c r="P36" s="7">
        <f>Dist!P4</f>
        <v>6055.9570493907277</v>
      </c>
      <c r="Q36" s="7">
        <f>Dist!Q4</f>
        <v>6035.8966906704709</v>
      </c>
      <c r="R36" s="7">
        <f>Dist!R4</f>
        <v>2213.100389418285</v>
      </c>
      <c r="S36" s="7">
        <f t="shared" si="24"/>
        <v>50513.053339469188</v>
      </c>
      <c r="U36" s="3">
        <f>NetNum!T4</f>
        <v>29</v>
      </c>
      <c r="V36" s="7">
        <f>Dist!Y4</f>
        <v>4528.0903484610963</v>
      </c>
      <c r="W36" s="7">
        <f>Dist!Z4</f>
        <v>1633.5644933025649</v>
      </c>
      <c r="X36" s="7">
        <f>Dist!AA4</f>
        <v>0</v>
      </c>
      <c r="Y36" s="7">
        <f>Dist!AB4</f>
        <v>2350.2784799625597</v>
      </c>
      <c r="Z36" s="7">
        <f>Dist!AC4</f>
        <v>1772.5982857672902</v>
      </c>
      <c r="AA36" s="7">
        <f>Dist!AD4</f>
        <v>5962.33571679343</v>
      </c>
      <c r="AB36" s="7">
        <f>Dist!AE4</f>
        <v>5167.5967687505972</v>
      </c>
      <c r="AC36" s="7">
        <f>Dist!AF4</f>
        <v>6138.0989422727453</v>
      </c>
      <c r="AD36" s="7">
        <f>Dist!AG4</f>
        <v>6962.058159451647</v>
      </c>
      <c r="AE36" s="7">
        <f>Dist!AH4</f>
        <v>5601.1424028452475</v>
      </c>
      <c r="AF36" s="7">
        <f>Dist!AI4</f>
        <v>6254.7349403432827</v>
      </c>
      <c r="AG36" s="7">
        <f>Dist!AJ4</f>
        <v>1346.1148410540006</v>
      </c>
      <c r="AH36" s="7">
        <f t="shared" si="25"/>
        <v>47716.613379004455</v>
      </c>
    </row>
    <row r="37" spans="6:34" x14ac:dyDescent="0.45">
      <c r="F37" s="3">
        <f>NetNum!T5</f>
        <v>24</v>
      </c>
      <c r="G37" s="7">
        <f>Dist!G5</f>
        <v>1696.5605000652154</v>
      </c>
      <c r="H37" s="7">
        <f>Dist!H5</f>
        <v>6893.4143263883725</v>
      </c>
      <c r="I37" s="7">
        <f>Dist!I5</f>
        <v>3098.5798540862138</v>
      </c>
      <c r="J37" s="7">
        <f>Dist!J5</f>
        <v>0</v>
      </c>
      <c r="K37" s="7">
        <f>Dist!K5</f>
        <v>4400.1873568561105</v>
      </c>
      <c r="L37" s="7">
        <f>Dist!L5</f>
        <v>2183.3475848932894</v>
      </c>
      <c r="M37" s="7">
        <f>Dist!M5</f>
        <v>7564.4537315331481</v>
      </c>
      <c r="N37" s="7">
        <f>Dist!N5</f>
        <v>3039.8665931065038</v>
      </c>
      <c r="O37" s="7">
        <f>Dist!O5</f>
        <v>3298.8393218552387</v>
      </c>
      <c r="P37" s="7">
        <f>Dist!P5</f>
        <v>4894.2471259944641</v>
      </c>
      <c r="Q37" s="7">
        <f>Dist!Q5</f>
        <v>1647.2353234072973</v>
      </c>
      <c r="R37" s="7">
        <f>Dist!R5</f>
        <v>2809.3370690193283</v>
      </c>
      <c r="S37" s="7">
        <f t="shared" si="24"/>
        <v>41526.068787205179</v>
      </c>
      <c r="U37" s="3">
        <f>NetNum!T5</f>
        <v>24</v>
      </c>
      <c r="V37" s="7">
        <f>Dist!Y5</f>
        <v>1402.7230881701059</v>
      </c>
      <c r="W37" s="7">
        <f>Dist!Z5</f>
        <v>8214.4984358307556</v>
      </c>
      <c r="X37" s="7">
        <f>Dist!AA5</f>
        <v>2352.2668532875182</v>
      </c>
      <c r="Y37" s="7">
        <f>Dist!AB5</f>
        <v>0</v>
      </c>
      <c r="Z37" s="7">
        <f>Dist!AC5</f>
        <v>5243.9647160101376</v>
      </c>
      <c r="AA37" s="7">
        <f>Dist!AD5</f>
        <v>1805.6338299366244</v>
      </c>
      <c r="AB37" s="7">
        <f>Dist!AE5</f>
        <v>7279.8917340862909</v>
      </c>
      <c r="AC37" s="7">
        <f>Dist!AF5</f>
        <v>2694.0255397995488</v>
      </c>
      <c r="AD37" s="7">
        <f>Dist!AG5</f>
        <v>3055.6631079960785</v>
      </c>
      <c r="AE37" s="7">
        <f>Dist!AH5</f>
        <v>4752.2358605618947</v>
      </c>
      <c r="AF37" s="7">
        <f>Dist!AI5</f>
        <v>1070.0390307272692</v>
      </c>
      <c r="AG37" s="7">
        <f>Dist!AJ5</f>
        <v>2216.5220892077032</v>
      </c>
      <c r="AH37" s="7">
        <f t="shared" si="25"/>
        <v>40087.464285613925</v>
      </c>
    </row>
    <row r="38" spans="6:34" x14ac:dyDescent="0.45">
      <c r="F38" s="3">
        <f>NetNum!T6</f>
        <v>21</v>
      </c>
      <c r="G38" s="7">
        <f>Dist!G6</f>
        <v>2709.71618942541</v>
      </c>
      <c r="H38" s="7">
        <f>Dist!H6</f>
        <v>3252.796700459749</v>
      </c>
      <c r="I38" s="7">
        <f>Dist!I6</f>
        <v>2408.2808862080419</v>
      </c>
      <c r="J38" s="7">
        <f>Dist!J6</f>
        <v>4460.8848270642939</v>
      </c>
      <c r="K38" s="7">
        <f>Dist!K6</f>
        <v>0</v>
      </c>
      <c r="L38" s="7">
        <f>Dist!L6</f>
        <v>3500.9077627821898</v>
      </c>
      <c r="M38" s="7">
        <f>Dist!M6</f>
        <v>8823.2562060837863</v>
      </c>
      <c r="N38" s="7">
        <f>Dist!N6</f>
        <v>1612.6671799667822</v>
      </c>
      <c r="O38" s="7">
        <f>Dist!O6</f>
        <v>2425.1246463005882</v>
      </c>
      <c r="P38" s="7">
        <f>Dist!P6</f>
        <v>8275.3920007422221</v>
      </c>
      <c r="Q38" s="7">
        <f>Dist!Q6</f>
        <v>1352.4890157099601</v>
      </c>
      <c r="R38" s="7">
        <f>Dist!R6</f>
        <v>1962.1062677830455</v>
      </c>
      <c r="S38" s="7">
        <f t="shared" si="24"/>
        <v>40783.621682526071</v>
      </c>
      <c r="U38" s="3">
        <f>NetNum!T6</f>
        <v>21</v>
      </c>
      <c r="V38" s="7">
        <f>Dist!Y6</f>
        <v>3030.3241540086588</v>
      </c>
      <c r="W38" s="7">
        <f>Dist!Z6</f>
        <v>2996.8756207638953</v>
      </c>
      <c r="X38" s="7">
        <f>Dist!AA6</f>
        <v>1777.2910805318986</v>
      </c>
      <c r="Y38" s="7">
        <f>Dist!AB6</f>
        <v>5253.4031782097045</v>
      </c>
      <c r="Z38" s="7">
        <f>Dist!AC6</f>
        <v>0</v>
      </c>
      <c r="AA38" s="7">
        <f>Dist!AD6</f>
        <v>3931.4566654843625</v>
      </c>
      <c r="AB38" s="7">
        <f>Dist!AE6</f>
        <v>10041.735988966384</v>
      </c>
      <c r="AC38" s="7">
        <f>Dist!AF6</f>
        <v>1169.9493924934454</v>
      </c>
      <c r="AD38" s="7">
        <f>Dist!AG6</f>
        <v>2128.4487201665088</v>
      </c>
      <c r="AE38" s="7">
        <f>Dist!AH6</f>
        <v>11505.661200384711</v>
      </c>
      <c r="AF38" s="7">
        <f>Dist!AI6</f>
        <v>875.60869464768621</v>
      </c>
      <c r="AG38" s="7">
        <f>Dist!AJ6</f>
        <v>1435.9858621126293</v>
      </c>
      <c r="AH38" s="7">
        <f t="shared" si="25"/>
        <v>44146.740557769881</v>
      </c>
    </row>
    <row r="39" spans="6:34" x14ac:dyDescent="0.45">
      <c r="F39" s="3">
        <f>NetNum!T7</f>
        <v>42</v>
      </c>
      <c r="G39" s="7">
        <f>Dist!G7</f>
        <v>1214.1847998946685</v>
      </c>
      <c r="H39" s="7">
        <f>Dist!H7</f>
        <v>2286.7570313561873</v>
      </c>
      <c r="I39" s="7">
        <f>Dist!I7</f>
        <v>5316.0640292402568</v>
      </c>
      <c r="J39" s="7">
        <f>Dist!J7</f>
        <v>2101.3419003738422</v>
      </c>
      <c r="K39" s="7">
        <f>Dist!K7</f>
        <v>3323.5687528071867</v>
      </c>
      <c r="L39" s="7">
        <f>Dist!L7</f>
        <v>0</v>
      </c>
      <c r="M39" s="7">
        <f>Dist!M7</f>
        <v>2518.1825389836813</v>
      </c>
      <c r="N39" s="7">
        <f>Dist!N7</f>
        <v>1332.4540140272529</v>
      </c>
      <c r="O39" s="7">
        <f>Dist!O7</f>
        <v>2230.9480829377899</v>
      </c>
      <c r="P39" s="7">
        <f>Dist!P7</f>
        <v>5212.1074587324101</v>
      </c>
      <c r="Q39" s="7">
        <f>Dist!Q7</f>
        <v>2668.0588805798225</v>
      </c>
      <c r="R39" s="7">
        <f>Dist!R7</f>
        <v>1710.7390652861429</v>
      </c>
      <c r="S39" s="7">
        <f t="shared" si="24"/>
        <v>29914.40655421924</v>
      </c>
      <c r="U39" s="3">
        <f>NetNum!T7</f>
        <v>42</v>
      </c>
      <c r="V39" s="7">
        <f>Dist!Y7</f>
        <v>968.49921843199888</v>
      </c>
      <c r="W39" s="7">
        <f>Dist!Z7</f>
        <v>1854.60942989215</v>
      </c>
      <c r="X39" s="7">
        <f>Dist!AA7</f>
        <v>5951.2136383451425</v>
      </c>
      <c r="Y39" s="7">
        <f>Dist!AB7</f>
        <v>1800.7421627689207</v>
      </c>
      <c r="Z39" s="7">
        <f>Dist!AC7</f>
        <v>3913.761635062343</v>
      </c>
      <c r="AA39" s="7">
        <f>Dist!AD7</f>
        <v>0</v>
      </c>
      <c r="AB39" s="7">
        <f>Dist!AE7</f>
        <v>1655.1765558111185</v>
      </c>
      <c r="AC39" s="7">
        <f>Dist!AF7</f>
        <v>914.01448186030223</v>
      </c>
      <c r="AD39" s="7">
        <f>Dist!AG7</f>
        <v>1941.276316108861</v>
      </c>
      <c r="AE39" s="7">
        <f>Dist!AH7</f>
        <v>5889.0809988483152</v>
      </c>
      <c r="AF39" s="7">
        <f>Dist!AI7</f>
        <v>2412.9208535907733</v>
      </c>
      <c r="AG39" s="7">
        <f>Dist!AJ7</f>
        <v>1212.3132775651561</v>
      </c>
      <c r="AH39" s="7">
        <f t="shared" si="25"/>
        <v>28513.608568285086</v>
      </c>
    </row>
    <row r="40" spans="6:34" x14ac:dyDescent="0.45">
      <c r="F40" s="3">
        <f>NetNum!T8</f>
        <v>43</v>
      </c>
      <c r="G40" s="7">
        <f>Dist!G8</f>
        <v>5306.9742984348422</v>
      </c>
      <c r="H40" s="7">
        <f>Dist!H8</f>
        <v>11740.0204397254</v>
      </c>
      <c r="I40" s="7">
        <f>Dist!I8</f>
        <v>6584.6313479586952</v>
      </c>
      <c r="J40" s="7">
        <f>Dist!J8</f>
        <v>7353.7526059184574</v>
      </c>
      <c r="K40" s="7">
        <f>Dist!K8</f>
        <v>8460.7817619878097</v>
      </c>
      <c r="L40" s="7">
        <f>Dist!L8</f>
        <v>2543.5765498558649</v>
      </c>
      <c r="M40" s="7">
        <f>Dist!M8</f>
        <v>0</v>
      </c>
      <c r="N40" s="7">
        <f>Dist!N8</f>
        <v>10643.328489904814</v>
      </c>
      <c r="O40" s="7">
        <f>Dist!O8</f>
        <v>3617.3674122654543</v>
      </c>
      <c r="P40" s="7">
        <f>Dist!P8</f>
        <v>4809.5252945889806</v>
      </c>
      <c r="Q40" s="7">
        <f>Dist!Q8</f>
        <v>9676.0454711865004</v>
      </c>
      <c r="R40" s="7">
        <f>Dist!R8</f>
        <v>6635.6646326776217</v>
      </c>
      <c r="S40" s="7">
        <f t="shared" si="24"/>
        <v>77371.668304504434</v>
      </c>
      <c r="U40" s="3">
        <f>NetNum!T8</f>
        <v>43</v>
      </c>
      <c r="V40" s="7">
        <f>Dist!Y8</f>
        <v>5397.7426077916025</v>
      </c>
      <c r="W40" s="7">
        <f>Dist!Z8</f>
        <v>13033.232165544718</v>
      </c>
      <c r="X40" s="7">
        <f>Dist!AA8</f>
        <v>5153.6026963940649</v>
      </c>
      <c r="Y40" s="7">
        <f>Dist!AB8</f>
        <v>7254.0404422424654</v>
      </c>
      <c r="Z40" s="7">
        <f>Dist!AC8</f>
        <v>9988.0999422391942</v>
      </c>
      <c r="AA40" s="7">
        <f>Dist!AD8</f>
        <v>1653.7792095085238</v>
      </c>
      <c r="AB40" s="7">
        <f>Dist!AE8</f>
        <v>0</v>
      </c>
      <c r="AC40" s="7">
        <f>Dist!AF8</f>
        <v>12603.864256560786</v>
      </c>
      <c r="AD40" s="7">
        <f>Dist!AG8</f>
        <v>2555.0605933779957</v>
      </c>
      <c r="AE40" s="7">
        <f>Dist!AH8</f>
        <v>3388.6062551229661</v>
      </c>
      <c r="AF40" s="7">
        <f>Dist!AI8</f>
        <v>10438.831995023933</v>
      </c>
      <c r="AG40" s="7">
        <f>Dist!AJ8</f>
        <v>5650.1809144163481</v>
      </c>
      <c r="AH40" s="7">
        <f t="shared" si="25"/>
        <v>77117.041078222595</v>
      </c>
    </row>
    <row r="41" spans="6:34" x14ac:dyDescent="0.45">
      <c r="F41" s="3">
        <f>NetNum!T9</f>
        <v>31</v>
      </c>
      <c r="G41" s="7">
        <f>Dist!G9</f>
        <v>2413.0254469508836</v>
      </c>
      <c r="H41" s="7">
        <f>Dist!H9</f>
        <v>3420.0819560306436</v>
      </c>
      <c r="I41" s="7">
        <f>Dist!I9</f>
        <v>5834.9742201428726</v>
      </c>
      <c r="J41" s="7">
        <f>Dist!J9</f>
        <v>2992.9180698711002</v>
      </c>
      <c r="K41" s="7">
        <f>Dist!K9</f>
        <v>1566.1566881170079</v>
      </c>
      <c r="L41" s="7">
        <f>Dist!L9</f>
        <v>1363.0716741856418</v>
      </c>
      <c r="M41" s="7">
        <f>Dist!M9</f>
        <v>10779.194921208609</v>
      </c>
      <c r="N41" s="7">
        <f>Dist!N9</f>
        <v>0</v>
      </c>
      <c r="O41" s="7">
        <f>Dist!O9</f>
        <v>2856.6382775758625</v>
      </c>
      <c r="P41" s="7">
        <f>Dist!P9</f>
        <v>5343.5422893245513</v>
      </c>
      <c r="Q41" s="7">
        <f>Dist!Q9</f>
        <v>4659.5718247384457</v>
      </c>
      <c r="R41" s="7">
        <f>Dist!R9</f>
        <v>5403.8209269285871</v>
      </c>
      <c r="S41" s="7">
        <f t="shared" si="24"/>
        <v>46632.996295074197</v>
      </c>
      <c r="U41" s="3">
        <f>NetNum!T9</f>
        <v>31</v>
      </c>
      <c r="V41" s="7">
        <f>Dist!Y9</f>
        <v>2354.0866852856007</v>
      </c>
      <c r="W41" s="7">
        <f>Dist!Z9</f>
        <v>2966.1873083835758</v>
      </c>
      <c r="X41" s="7">
        <f>Dist!AA9</f>
        <v>6137.4667600333514</v>
      </c>
      <c r="Y41" s="7">
        <f>Dist!AB9</f>
        <v>2691.4710458684749</v>
      </c>
      <c r="Z41" s="7">
        <f>Dist!AC9</f>
        <v>1166.7400561882998</v>
      </c>
      <c r="AA41" s="7">
        <f>Dist!AD9</f>
        <v>915.62834812314645</v>
      </c>
      <c r="AB41" s="7">
        <f>Dist!AE9</f>
        <v>12636.787102895636</v>
      </c>
      <c r="AC41" s="7">
        <f>Dist!AF9</f>
        <v>0</v>
      </c>
      <c r="AD41" s="7">
        <f>Dist!AG9</f>
        <v>2490.1101742866308</v>
      </c>
      <c r="AE41" s="7">
        <f>Dist!AH9</f>
        <v>5460.0205441107755</v>
      </c>
      <c r="AF41" s="7">
        <f>Dist!AI9</f>
        <v>4955.6398667543308</v>
      </c>
      <c r="AG41" s="7">
        <f>Dist!AJ9</f>
        <v>5855.8169759454813</v>
      </c>
      <c r="AH41" s="7">
        <f t="shared" si="25"/>
        <v>47629.954867875305</v>
      </c>
    </row>
    <row r="42" spans="6:34" x14ac:dyDescent="0.45">
      <c r="F42" s="3">
        <f>NetNum!T10</f>
        <v>33</v>
      </c>
      <c r="G42" s="7">
        <f>Dist!G10</f>
        <v>3212.9113798149733</v>
      </c>
      <c r="H42" s="7">
        <f>Dist!H10</f>
        <v>2750.6411095362009</v>
      </c>
      <c r="I42" s="7">
        <f>Dist!I10</f>
        <v>6150.4102662990335</v>
      </c>
      <c r="J42" s="7">
        <f>Dist!J10</f>
        <v>3154.7138562467171</v>
      </c>
      <c r="K42" s="7">
        <f>Dist!K10</f>
        <v>2287.6155195739607</v>
      </c>
      <c r="L42" s="7">
        <f>Dist!L10</f>
        <v>2216.7383472389438</v>
      </c>
      <c r="M42" s="7">
        <f>Dist!M10</f>
        <v>3558.4427905670705</v>
      </c>
      <c r="N42" s="7">
        <f>Dist!N10</f>
        <v>2774.6854590452385</v>
      </c>
      <c r="O42" s="7">
        <f>Dist!O10</f>
        <v>0</v>
      </c>
      <c r="P42" s="7">
        <f>Dist!P10</f>
        <v>2313.4584415885997</v>
      </c>
      <c r="Q42" s="7">
        <f>Dist!Q10</f>
        <v>4079.2167966861962</v>
      </c>
      <c r="R42" s="7">
        <f>Dist!R10</f>
        <v>3013.9619648735147</v>
      </c>
      <c r="S42" s="7">
        <f t="shared" si="24"/>
        <v>35512.795931470449</v>
      </c>
      <c r="U42" s="3">
        <f>NetNum!T10</f>
        <v>33</v>
      </c>
      <c r="V42" s="7">
        <f>Dist!Y10</f>
        <v>3767.3390041396856</v>
      </c>
      <c r="W42" s="7">
        <f>Dist!Z10</f>
        <v>2268.775250526106</v>
      </c>
      <c r="X42" s="7">
        <f>Dist!AA10</f>
        <v>6940.2216695202014</v>
      </c>
      <c r="Y42" s="7">
        <f>Dist!AB10</f>
        <v>3043.5041696781568</v>
      </c>
      <c r="Z42" s="7">
        <f>Dist!AC10</f>
        <v>2116.1704711635489</v>
      </c>
      <c r="AA42" s="7">
        <f>Dist!AD10</f>
        <v>1938.8041293406018</v>
      </c>
      <c r="AB42" s="7">
        <f>Dist!AE10</f>
        <v>2553.9628882228249</v>
      </c>
      <c r="AC42" s="7">
        <f>Dist!AF10</f>
        <v>2482.5556319497659</v>
      </c>
      <c r="AD42" s="7">
        <f>Dist!AG10</f>
        <v>0</v>
      </c>
      <c r="AE42" s="7">
        <f>Dist!AH10</f>
        <v>1683.3500266679021</v>
      </c>
      <c r="AF42" s="7">
        <f>Dist!AI10</f>
        <v>4229.623338680125</v>
      </c>
      <c r="AG42" s="7">
        <f>Dist!AJ10</f>
        <v>2578.8863854380552</v>
      </c>
      <c r="AH42" s="7">
        <f t="shared" si="25"/>
        <v>33603.192965326976</v>
      </c>
    </row>
    <row r="43" spans="6:34" x14ac:dyDescent="0.45">
      <c r="F43" s="3">
        <f>NetNum!T11</f>
        <v>30</v>
      </c>
      <c r="G43" s="7">
        <f>Dist!G11</f>
        <v>2226.1655371458028</v>
      </c>
      <c r="H43" s="7">
        <f>Dist!H11</f>
        <v>5200.2540813558135</v>
      </c>
      <c r="I43" s="7">
        <f>Dist!I11</f>
        <v>6074.3019860189506</v>
      </c>
      <c r="J43" s="7">
        <f>Dist!J11</f>
        <v>4811.4941386533692</v>
      </c>
      <c r="K43" s="7">
        <f>Dist!K11</f>
        <v>8024.773810767676</v>
      </c>
      <c r="L43" s="7">
        <f>Dist!L11</f>
        <v>5323.9453323833386</v>
      </c>
      <c r="M43" s="7">
        <f>Dist!M11</f>
        <v>4863.678230240419</v>
      </c>
      <c r="N43" s="7">
        <f>Dist!N11</f>
        <v>5335.5969268111139</v>
      </c>
      <c r="O43" s="7">
        <f>Dist!O11</f>
        <v>2378.2470039469072</v>
      </c>
      <c r="P43" s="7">
        <f>Dist!P11</f>
        <v>0</v>
      </c>
      <c r="Q43" s="7">
        <f>Dist!Q11</f>
        <v>5544.2869549125826</v>
      </c>
      <c r="R43" s="7">
        <f>Dist!R11</f>
        <v>6459.8283307755719</v>
      </c>
      <c r="S43" s="7">
        <f t="shared" si="24"/>
        <v>56242.572333011536</v>
      </c>
      <c r="U43" s="3">
        <f>NetNum!T11</f>
        <v>30</v>
      </c>
      <c r="V43" s="7">
        <f>Dist!Y11</f>
        <v>1842.2168802769402</v>
      </c>
      <c r="W43" s="7">
        <f>Dist!Z11</f>
        <v>4813.2936997353672</v>
      </c>
      <c r="X43" s="7">
        <f>Dist!AA11</f>
        <v>5589.1366076171089</v>
      </c>
      <c r="Y43" s="7">
        <f>Dist!AB11</f>
        <v>4738.0411991668443</v>
      </c>
      <c r="Z43" s="7">
        <f>Dist!AC11</f>
        <v>11450.684677060352</v>
      </c>
      <c r="AA43" s="7">
        <f>Dist!AD11</f>
        <v>5887.4403897635457</v>
      </c>
      <c r="AB43" s="7">
        <f>Dist!AE11</f>
        <v>3390.5246161929026</v>
      </c>
      <c r="AC43" s="7">
        <f>Dist!AF11</f>
        <v>5448.8784344371979</v>
      </c>
      <c r="AD43" s="7">
        <f>Dist!AG11</f>
        <v>1685.0269277066147</v>
      </c>
      <c r="AE43" s="7">
        <f>Dist!AH11</f>
        <v>0</v>
      </c>
      <c r="AF43" s="7">
        <f>Dist!AI11</f>
        <v>5552.4178821624073</v>
      </c>
      <c r="AG43" s="7">
        <f>Dist!AJ11</f>
        <v>6622.3263294816834</v>
      </c>
      <c r="AH43" s="7">
        <f t="shared" si="25"/>
        <v>57019.987643600965</v>
      </c>
    </row>
    <row r="44" spans="6:34" x14ac:dyDescent="0.45">
      <c r="F44" s="3">
        <f>NetNum!T12</f>
        <v>18</v>
      </c>
      <c r="G44" s="7">
        <f>Dist!G12</f>
        <v>2674.212259368222</v>
      </c>
      <c r="H44" s="7">
        <f>Dist!H12</f>
        <v>5915.8580425773735</v>
      </c>
      <c r="I44" s="7">
        <f>Dist!I12</f>
        <v>6105.7599058018695</v>
      </c>
      <c r="J44" s="7">
        <f>Dist!J12</f>
        <v>1633.1799716440332</v>
      </c>
      <c r="K44" s="7">
        <f>Dist!K12</f>
        <v>1322.702893201254</v>
      </c>
      <c r="L44" s="7">
        <f>Dist!L12</f>
        <v>2748.526749468318</v>
      </c>
      <c r="M44" s="7">
        <f>Dist!M12</f>
        <v>9868.3570568835439</v>
      </c>
      <c r="N44" s="7">
        <f>Dist!N12</f>
        <v>4692.2820078097193</v>
      </c>
      <c r="O44" s="7">
        <f>Dist!O12</f>
        <v>4229.182000676642</v>
      </c>
      <c r="P44" s="7">
        <f>Dist!P12</f>
        <v>5591.5219218082002</v>
      </c>
      <c r="Q44" s="7">
        <f>Dist!Q12</f>
        <v>0</v>
      </c>
      <c r="R44" s="7">
        <f>Dist!R12</f>
        <v>3961.0432143738517</v>
      </c>
      <c r="S44" s="7">
        <f t="shared" si="24"/>
        <v>48742.626023613026</v>
      </c>
      <c r="U44" s="3">
        <f>NetNum!T12</f>
        <v>18</v>
      </c>
      <c r="V44" s="7">
        <f>Dist!Y12</f>
        <v>2612.7897822797572</v>
      </c>
      <c r="W44" s="7">
        <f>Dist!Z12</f>
        <v>6308.7661466220543</v>
      </c>
      <c r="X44" s="7">
        <f>Dist!AA12</f>
        <v>6257.9720724799172</v>
      </c>
      <c r="Y44" s="7">
        <f>Dist!AB12</f>
        <v>1069.6878553146844</v>
      </c>
      <c r="Z44" s="7">
        <f>Dist!AC12</f>
        <v>873.74869390142987</v>
      </c>
      <c r="AA44" s="7">
        <f>Dist!AD12</f>
        <v>2418.6814414576925</v>
      </c>
      <c r="AB44" s="7">
        <f>Dist!AE12</f>
        <v>10472.594835910082</v>
      </c>
      <c r="AC44" s="7">
        <f>Dist!AF12</f>
        <v>4958.7153672594613</v>
      </c>
      <c r="AD44" s="7">
        <f>Dist!AG12</f>
        <v>4245.1272143908909</v>
      </c>
      <c r="AE44" s="7">
        <f>Dist!AH12</f>
        <v>5567.2246247776275</v>
      </c>
      <c r="AF44" s="7">
        <f>Dist!AI12</f>
        <v>0</v>
      </c>
      <c r="AG44" s="7">
        <f>Dist!AJ12</f>
        <v>3507.6856807464524</v>
      </c>
      <c r="AH44" s="7">
        <f t="shared" si="25"/>
        <v>48292.993715140052</v>
      </c>
    </row>
    <row r="45" spans="6:34" x14ac:dyDescent="0.45">
      <c r="F45" s="3">
        <f>NetNum!T13</f>
        <v>40</v>
      </c>
      <c r="G45" s="7">
        <f>Dist!G13</f>
        <v>2451.3183431566963</v>
      </c>
      <c r="H45" s="7">
        <f>Dist!H13</f>
        <v>6064.0990190102666</v>
      </c>
      <c r="I45" s="7">
        <f>Dist!I13</f>
        <v>2203.1321988506838</v>
      </c>
      <c r="J45" s="7">
        <f>Dist!J13</f>
        <v>2741.0929750988662</v>
      </c>
      <c r="K45" s="7">
        <f>Dist!K13</f>
        <v>1888.3939493725259</v>
      </c>
      <c r="L45" s="7">
        <f>Dist!L13</f>
        <v>1734.3224640393871</v>
      </c>
      <c r="M45" s="7">
        <f>Dist!M13</f>
        <v>6659.9796330322997</v>
      </c>
      <c r="N45" s="7">
        <f>Dist!N13</f>
        <v>5355.2600151944516</v>
      </c>
      <c r="O45" s="7">
        <f>Dist!O13</f>
        <v>3075.0973826446775</v>
      </c>
      <c r="P45" s="7">
        <f>Dist!P13</f>
        <v>6411.3107484298462</v>
      </c>
      <c r="Q45" s="7">
        <f>Dist!Q13</f>
        <v>3898.0831499810879</v>
      </c>
      <c r="R45" s="7">
        <f>Dist!R13</f>
        <v>0</v>
      </c>
      <c r="S45" s="7">
        <f t="shared" si="24"/>
        <v>42482.089878810788</v>
      </c>
      <c r="U45" s="3">
        <f>NetNum!T13</f>
        <v>40</v>
      </c>
      <c r="V45" s="7">
        <f>Dist!Y13</f>
        <v>2245.1744001985112</v>
      </c>
      <c r="W45" s="7">
        <f>Dist!Z13</f>
        <v>6384.424770216915</v>
      </c>
      <c r="X45" s="7">
        <f>Dist!AA13</f>
        <v>1346.5874898839863</v>
      </c>
      <c r="Y45" s="7">
        <f>Dist!AB13</f>
        <v>2215.4260700475816</v>
      </c>
      <c r="Z45" s="7">
        <f>Dist!AC13</f>
        <v>1432.6971295414182</v>
      </c>
      <c r="AA45" s="7">
        <f>Dist!AD13</f>
        <v>1215.0054042168999</v>
      </c>
      <c r="AB45" s="7">
        <f>Dist!AE13</f>
        <v>5667.5126760278526</v>
      </c>
      <c r="AC45" s="7">
        <f>Dist!AF13</f>
        <v>5858.4764577302658</v>
      </c>
      <c r="AD45" s="7">
        <f>Dist!AG13</f>
        <v>2587.9088600169239</v>
      </c>
      <c r="AE45" s="7">
        <f>Dist!AH13</f>
        <v>6638.8817080179288</v>
      </c>
      <c r="AF45" s="7">
        <f>Dist!AI13</f>
        <v>3507.1022044946312</v>
      </c>
      <c r="AG45" s="7">
        <f>Dist!AJ13</f>
        <v>0</v>
      </c>
      <c r="AH45" s="7">
        <f t="shared" si="25"/>
        <v>39099.197170392916</v>
      </c>
    </row>
    <row r="46" spans="6:34" x14ac:dyDescent="0.45">
      <c r="F46" s="3" t="s">
        <v>329</v>
      </c>
      <c r="G46" s="7">
        <f>SUM(G34:G45)</f>
        <v>31939.699999999993</v>
      </c>
      <c r="H46" s="7">
        <f t="shared" ref="H46:R46" si="26">SUM(H34:H45)</f>
        <v>53927.899999999994</v>
      </c>
      <c r="I46" s="7">
        <f t="shared" si="26"/>
        <v>50451.4</v>
      </c>
      <c r="J46" s="7">
        <f t="shared" si="26"/>
        <v>40692.9</v>
      </c>
      <c r="K46" s="7">
        <f t="shared" si="26"/>
        <v>39362</v>
      </c>
      <c r="L46" s="7">
        <f t="shared" si="26"/>
        <v>30589.4</v>
      </c>
      <c r="M46" s="7">
        <f t="shared" si="26"/>
        <v>78440.10000000002</v>
      </c>
      <c r="N46" s="7">
        <f t="shared" si="26"/>
        <v>46396.100000000006</v>
      </c>
      <c r="O46" s="7">
        <f t="shared" si="26"/>
        <v>36523.1</v>
      </c>
      <c r="P46" s="7">
        <f t="shared" si="26"/>
        <v>56301.799999999988</v>
      </c>
      <c r="Q46" s="7">
        <f t="shared" si="26"/>
        <v>48042.3</v>
      </c>
      <c r="R46" s="7">
        <f t="shared" si="26"/>
        <v>42712.599999999984</v>
      </c>
      <c r="S46" s="7">
        <f>SUM(S34:S45)</f>
        <v>555379.29999999993</v>
      </c>
      <c r="U46" s="3" t="s">
        <v>329</v>
      </c>
      <c r="V46" s="7">
        <f>SUM(V34:V45)</f>
        <v>32516.299999999996</v>
      </c>
      <c r="W46" s="7">
        <f t="shared" ref="W46:AG46" si="27">SUM(W34:W45)</f>
        <v>54837.30000000001</v>
      </c>
      <c r="X46" s="7">
        <f t="shared" si="27"/>
        <v>47662.999999999993</v>
      </c>
      <c r="Y46" s="7">
        <f t="shared" si="27"/>
        <v>40024.299999999996</v>
      </c>
      <c r="Z46" s="7">
        <f t="shared" si="27"/>
        <v>43966.8</v>
      </c>
      <c r="AA46" s="7">
        <f t="shared" si="27"/>
        <v>28556.200000000004</v>
      </c>
      <c r="AB46" s="7">
        <f t="shared" si="27"/>
        <v>77341.500000000015</v>
      </c>
      <c r="AC46" s="7">
        <f t="shared" si="27"/>
        <v>47587.1</v>
      </c>
      <c r="AD46" s="7">
        <f t="shared" si="27"/>
        <v>33702.099999999991</v>
      </c>
      <c r="AE46" s="7">
        <f t="shared" si="27"/>
        <v>57154.2</v>
      </c>
      <c r="AF46" s="7">
        <f t="shared" si="27"/>
        <v>48211.3</v>
      </c>
      <c r="AG46" s="7">
        <f t="shared" si="27"/>
        <v>39050.199999999997</v>
      </c>
      <c r="AH46" s="7">
        <f>SUM(AH34:AH45)</f>
        <v>550610.30000000005</v>
      </c>
    </row>
    <row r="49" spans="6:34" x14ac:dyDescent="0.45">
      <c r="F49" s="4" t="s">
        <v>165</v>
      </c>
      <c r="G49" s="3">
        <f t="shared" ref="G49:R49" si="28">G33</f>
        <v>9</v>
      </c>
      <c r="H49" s="3">
        <f t="shared" si="28"/>
        <v>12</v>
      </c>
      <c r="I49" s="3">
        <f t="shared" si="28"/>
        <v>29</v>
      </c>
      <c r="J49" s="3">
        <f t="shared" si="28"/>
        <v>24</v>
      </c>
      <c r="K49" s="3">
        <f t="shared" si="28"/>
        <v>21</v>
      </c>
      <c r="L49" s="3">
        <f t="shared" si="28"/>
        <v>42</v>
      </c>
      <c r="M49" s="3">
        <f t="shared" si="28"/>
        <v>43</v>
      </c>
      <c r="N49" s="3">
        <f t="shared" si="28"/>
        <v>31</v>
      </c>
      <c r="O49" s="3">
        <f t="shared" si="28"/>
        <v>33</v>
      </c>
      <c r="P49" s="3">
        <f t="shared" si="28"/>
        <v>30</v>
      </c>
      <c r="Q49" s="3">
        <f t="shared" si="28"/>
        <v>18</v>
      </c>
      <c r="R49" s="3">
        <f t="shared" si="28"/>
        <v>40</v>
      </c>
      <c r="S49" s="3" t="s">
        <v>329</v>
      </c>
      <c r="U49" s="4" t="s">
        <v>183</v>
      </c>
      <c r="V49" s="3">
        <f t="shared" ref="V49:AG49" si="29">V33</f>
        <v>9</v>
      </c>
      <c r="W49" s="3">
        <f t="shared" si="29"/>
        <v>12</v>
      </c>
      <c r="X49" s="3">
        <f t="shared" si="29"/>
        <v>29</v>
      </c>
      <c r="Y49" s="3">
        <f t="shared" si="29"/>
        <v>24</v>
      </c>
      <c r="Z49" s="3">
        <f t="shared" si="29"/>
        <v>21</v>
      </c>
      <c r="AA49" s="3">
        <f t="shared" si="29"/>
        <v>42</v>
      </c>
      <c r="AB49" s="3">
        <f t="shared" si="29"/>
        <v>43</v>
      </c>
      <c r="AC49" s="3">
        <f t="shared" si="29"/>
        <v>31</v>
      </c>
      <c r="AD49" s="3">
        <f t="shared" si="29"/>
        <v>33</v>
      </c>
      <c r="AE49" s="3">
        <f t="shared" si="29"/>
        <v>30</v>
      </c>
      <c r="AF49" s="3">
        <f t="shared" si="29"/>
        <v>18</v>
      </c>
      <c r="AG49" s="3">
        <f t="shared" si="29"/>
        <v>40</v>
      </c>
      <c r="AH49" s="3" t="s">
        <v>329</v>
      </c>
    </row>
    <row r="50" spans="6:34" x14ac:dyDescent="0.45">
      <c r="F50" s="3">
        <f t="shared" ref="F50:F61" si="30">F34</f>
        <v>9</v>
      </c>
      <c r="G50" s="1">
        <f t="shared" ref="G50:R61" si="31">$D$20*G82+$D$21*G114</f>
        <v>0</v>
      </c>
      <c r="H50" s="1">
        <f t="shared" si="31"/>
        <v>10</v>
      </c>
      <c r="I50" s="1">
        <f t="shared" si="31"/>
        <v>10.199999999999999</v>
      </c>
      <c r="J50" s="1">
        <f t="shared" si="31"/>
        <v>7.8999999999999995</v>
      </c>
      <c r="K50" s="1">
        <f t="shared" si="31"/>
        <v>9</v>
      </c>
      <c r="L50" s="1">
        <f t="shared" si="31"/>
        <v>8.2999999999999989</v>
      </c>
      <c r="M50" s="1">
        <f t="shared" si="31"/>
        <v>9.1</v>
      </c>
      <c r="N50" s="1">
        <f t="shared" si="31"/>
        <v>10.100000000000001</v>
      </c>
      <c r="O50" s="1">
        <f t="shared" si="31"/>
        <v>10</v>
      </c>
      <c r="P50" s="1">
        <f t="shared" si="31"/>
        <v>8.6</v>
      </c>
      <c r="Q50" s="1">
        <f t="shared" si="31"/>
        <v>9.9</v>
      </c>
      <c r="R50" s="1">
        <f t="shared" si="31"/>
        <v>9.7999999999999989</v>
      </c>
      <c r="S50" s="1">
        <f>SUM(G50:R50)</f>
        <v>102.89999999999999</v>
      </c>
      <c r="U50" s="3">
        <f t="shared" ref="U50:U61" si="32">U34</f>
        <v>9</v>
      </c>
      <c r="V50" s="1">
        <f t="shared" ref="V50:AG61" si="33">$D$22*V82+$D$23*V114</f>
        <v>0</v>
      </c>
      <c r="W50" s="1">
        <f t="shared" si="33"/>
        <v>12.299999999999999</v>
      </c>
      <c r="X50" s="1">
        <f t="shared" si="33"/>
        <v>12.399999999999999</v>
      </c>
      <c r="Y50" s="1">
        <f t="shared" si="33"/>
        <v>9.6499999999999986</v>
      </c>
      <c r="Z50" s="1">
        <f t="shared" si="33"/>
        <v>10.899999999999999</v>
      </c>
      <c r="AA50" s="1">
        <f t="shared" si="33"/>
        <v>10.049999999999999</v>
      </c>
      <c r="AB50" s="1">
        <f t="shared" si="33"/>
        <v>11.15</v>
      </c>
      <c r="AC50" s="1">
        <f t="shared" si="33"/>
        <v>12.349999999999998</v>
      </c>
      <c r="AD50" s="1">
        <f t="shared" si="33"/>
        <v>12.2</v>
      </c>
      <c r="AE50" s="1">
        <f t="shared" si="33"/>
        <v>10.599999999999998</v>
      </c>
      <c r="AF50" s="1">
        <f t="shared" si="33"/>
        <v>12.049999999999999</v>
      </c>
      <c r="AG50" s="1">
        <f t="shared" si="33"/>
        <v>11.799999999999999</v>
      </c>
      <c r="AH50" s="1">
        <f>SUM(V50:AG50)</f>
        <v>125.44999999999997</v>
      </c>
    </row>
    <row r="51" spans="6:34" x14ac:dyDescent="0.45">
      <c r="F51" s="3">
        <f t="shared" si="30"/>
        <v>12</v>
      </c>
      <c r="G51" s="1">
        <f t="shared" si="31"/>
        <v>10</v>
      </c>
      <c r="H51" s="1">
        <f t="shared" si="31"/>
        <v>0</v>
      </c>
      <c r="I51" s="1">
        <f t="shared" si="31"/>
        <v>7.6</v>
      </c>
      <c r="J51" s="1">
        <f t="shared" si="31"/>
        <v>7.9</v>
      </c>
      <c r="K51" s="1">
        <f t="shared" si="31"/>
        <v>8</v>
      </c>
      <c r="L51" s="1">
        <f t="shared" si="31"/>
        <v>9.8000000000000007</v>
      </c>
      <c r="M51" s="1">
        <f t="shared" si="31"/>
        <v>8.1</v>
      </c>
      <c r="N51" s="1">
        <f t="shared" si="31"/>
        <v>8.5</v>
      </c>
      <c r="O51" s="1">
        <f t="shared" si="31"/>
        <v>8</v>
      </c>
      <c r="P51" s="1">
        <f t="shared" si="31"/>
        <v>8.6</v>
      </c>
      <c r="Q51" s="1">
        <f t="shared" si="31"/>
        <v>7.4</v>
      </c>
      <c r="R51" s="1">
        <f t="shared" si="31"/>
        <v>9.9</v>
      </c>
      <c r="S51" s="1">
        <f t="shared" ref="S51:S62" si="34">SUM(G51:R51)</f>
        <v>93.800000000000011</v>
      </c>
      <c r="U51" s="3">
        <f t="shared" si="32"/>
        <v>12</v>
      </c>
      <c r="V51" s="1">
        <f t="shared" si="33"/>
        <v>12.299999999999999</v>
      </c>
      <c r="W51" s="1">
        <f t="shared" si="33"/>
        <v>0</v>
      </c>
      <c r="X51" s="1">
        <f t="shared" si="33"/>
        <v>9.4</v>
      </c>
      <c r="Y51" s="1">
        <f t="shared" si="33"/>
        <v>9.75</v>
      </c>
      <c r="Z51" s="1">
        <f t="shared" si="33"/>
        <v>9.6999999999999993</v>
      </c>
      <c r="AA51" s="1">
        <f t="shared" si="33"/>
        <v>12.1</v>
      </c>
      <c r="AB51" s="1">
        <f t="shared" si="33"/>
        <v>9.9499999999999993</v>
      </c>
      <c r="AC51" s="1">
        <f t="shared" si="33"/>
        <v>10.349999999999998</v>
      </c>
      <c r="AD51" s="1">
        <f t="shared" si="33"/>
        <v>9.8999999999999986</v>
      </c>
      <c r="AE51" s="1">
        <f t="shared" si="33"/>
        <v>10.4</v>
      </c>
      <c r="AF51" s="1">
        <f t="shared" si="33"/>
        <v>9</v>
      </c>
      <c r="AG51" s="1">
        <f t="shared" si="33"/>
        <v>12.149999999999999</v>
      </c>
      <c r="AH51" s="1">
        <f t="shared" ref="AH51:AH62" si="35">SUM(V51:AG51)</f>
        <v>115</v>
      </c>
    </row>
    <row r="52" spans="6:34" x14ac:dyDescent="0.45">
      <c r="F52" s="3">
        <f t="shared" si="30"/>
        <v>29</v>
      </c>
      <c r="G52" s="1">
        <f t="shared" si="31"/>
        <v>10.199999999999999</v>
      </c>
      <c r="H52" s="1">
        <f t="shared" si="31"/>
        <v>7.6</v>
      </c>
      <c r="I52" s="1">
        <f t="shared" si="31"/>
        <v>0</v>
      </c>
      <c r="J52" s="1">
        <f t="shared" si="31"/>
        <v>8.3000000000000007</v>
      </c>
      <c r="K52" s="1">
        <f t="shared" si="31"/>
        <v>8.9</v>
      </c>
      <c r="L52" s="1">
        <f t="shared" si="31"/>
        <v>7.4</v>
      </c>
      <c r="M52" s="1">
        <f t="shared" si="31"/>
        <v>8.5</v>
      </c>
      <c r="N52" s="1">
        <f t="shared" si="31"/>
        <v>9.1</v>
      </c>
      <c r="O52" s="1">
        <f t="shared" si="31"/>
        <v>8.6</v>
      </c>
      <c r="P52" s="1">
        <f t="shared" si="31"/>
        <v>9.6</v>
      </c>
      <c r="Q52" s="1">
        <f t="shared" si="31"/>
        <v>8.1999999999999993</v>
      </c>
      <c r="R52" s="1">
        <f t="shared" si="31"/>
        <v>10.3</v>
      </c>
      <c r="S52" s="1">
        <f t="shared" si="34"/>
        <v>96.699999999999989</v>
      </c>
      <c r="U52" s="3">
        <f t="shared" si="32"/>
        <v>29</v>
      </c>
      <c r="V52" s="1">
        <f t="shared" si="33"/>
        <v>12.399999999999999</v>
      </c>
      <c r="W52" s="1">
        <f t="shared" si="33"/>
        <v>9.4</v>
      </c>
      <c r="X52" s="1">
        <f t="shared" si="33"/>
        <v>0</v>
      </c>
      <c r="Y52" s="1">
        <f t="shared" si="33"/>
        <v>10.25</v>
      </c>
      <c r="Z52" s="1">
        <f t="shared" si="33"/>
        <v>10.75</v>
      </c>
      <c r="AA52" s="1">
        <f t="shared" si="33"/>
        <v>9.1</v>
      </c>
      <c r="AB52" s="1">
        <f t="shared" si="33"/>
        <v>10.349999999999998</v>
      </c>
      <c r="AC52" s="1">
        <f t="shared" si="33"/>
        <v>10.95</v>
      </c>
      <c r="AD52" s="1">
        <f t="shared" si="33"/>
        <v>10.7</v>
      </c>
      <c r="AE52" s="1">
        <f t="shared" si="33"/>
        <v>11.7</v>
      </c>
      <c r="AF52" s="1">
        <f t="shared" si="33"/>
        <v>10.199999999999999</v>
      </c>
      <c r="AG52" s="1">
        <f t="shared" si="33"/>
        <v>12.649999999999999</v>
      </c>
      <c r="AH52" s="1">
        <f t="shared" si="35"/>
        <v>118.45000000000002</v>
      </c>
    </row>
    <row r="53" spans="6:34" x14ac:dyDescent="0.45">
      <c r="F53" s="3">
        <f t="shared" si="30"/>
        <v>24</v>
      </c>
      <c r="G53" s="1">
        <f t="shared" si="31"/>
        <v>7.8999999999999995</v>
      </c>
      <c r="H53" s="1">
        <f t="shared" si="31"/>
        <v>7.9</v>
      </c>
      <c r="I53" s="1">
        <f t="shared" si="31"/>
        <v>8.3000000000000007</v>
      </c>
      <c r="J53" s="1">
        <f t="shared" si="31"/>
        <v>0</v>
      </c>
      <c r="K53" s="1">
        <f t="shared" si="31"/>
        <v>8.3999999999999986</v>
      </c>
      <c r="L53" s="1">
        <f t="shared" si="31"/>
        <v>8.1999999999999993</v>
      </c>
      <c r="M53" s="1">
        <f t="shared" si="31"/>
        <v>9.1</v>
      </c>
      <c r="N53" s="1">
        <f t="shared" si="31"/>
        <v>8.3999999999999986</v>
      </c>
      <c r="O53" s="1">
        <f t="shared" si="31"/>
        <v>8.7999999999999989</v>
      </c>
      <c r="P53" s="1">
        <f t="shared" si="31"/>
        <v>8</v>
      </c>
      <c r="Q53" s="1">
        <f t="shared" si="31"/>
        <v>9.8999999999999986</v>
      </c>
      <c r="R53" s="1">
        <f t="shared" si="31"/>
        <v>10.4</v>
      </c>
      <c r="S53" s="1">
        <f t="shared" si="34"/>
        <v>95.300000000000011</v>
      </c>
      <c r="U53" s="3">
        <f t="shared" si="32"/>
        <v>24</v>
      </c>
      <c r="V53" s="1">
        <f t="shared" si="33"/>
        <v>9.6499999999999986</v>
      </c>
      <c r="W53" s="1">
        <f t="shared" si="33"/>
        <v>9.75</v>
      </c>
      <c r="X53" s="1">
        <f t="shared" si="33"/>
        <v>10.25</v>
      </c>
      <c r="Y53" s="1">
        <f t="shared" si="33"/>
        <v>0</v>
      </c>
      <c r="Z53" s="1">
        <f t="shared" si="33"/>
        <v>10.299999999999999</v>
      </c>
      <c r="AA53" s="1">
        <f t="shared" si="33"/>
        <v>9.8999999999999986</v>
      </c>
      <c r="AB53" s="1">
        <f t="shared" si="33"/>
        <v>11.15</v>
      </c>
      <c r="AC53" s="1">
        <f t="shared" si="33"/>
        <v>10.299999999999999</v>
      </c>
      <c r="AD53" s="1">
        <f t="shared" si="33"/>
        <v>10.799999999999999</v>
      </c>
      <c r="AE53" s="1">
        <f t="shared" si="33"/>
        <v>10</v>
      </c>
      <c r="AF53" s="1">
        <f t="shared" si="33"/>
        <v>11.95</v>
      </c>
      <c r="AG53" s="1">
        <f t="shared" si="33"/>
        <v>12.799999999999999</v>
      </c>
      <c r="AH53" s="1">
        <f t="shared" si="35"/>
        <v>116.85</v>
      </c>
    </row>
    <row r="54" spans="6:34" x14ac:dyDescent="0.45">
      <c r="F54" s="3">
        <f t="shared" si="30"/>
        <v>21</v>
      </c>
      <c r="G54" s="1">
        <f t="shared" si="31"/>
        <v>9</v>
      </c>
      <c r="H54" s="1">
        <f t="shared" si="31"/>
        <v>8</v>
      </c>
      <c r="I54" s="1">
        <f t="shared" si="31"/>
        <v>8.9</v>
      </c>
      <c r="J54" s="1">
        <f t="shared" si="31"/>
        <v>8.3999999999999986</v>
      </c>
      <c r="K54" s="1">
        <f t="shared" si="31"/>
        <v>0</v>
      </c>
      <c r="L54" s="1">
        <f t="shared" si="31"/>
        <v>8.3999999999999986</v>
      </c>
      <c r="M54" s="1">
        <f t="shared" si="31"/>
        <v>9.5</v>
      </c>
      <c r="N54" s="1">
        <f t="shared" si="31"/>
        <v>10.1</v>
      </c>
      <c r="O54" s="1">
        <f t="shared" si="31"/>
        <v>9.9</v>
      </c>
      <c r="P54" s="1">
        <f t="shared" si="31"/>
        <v>8</v>
      </c>
      <c r="Q54" s="1">
        <f t="shared" si="31"/>
        <v>9.1</v>
      </c>
      <c r="R54" s="1">
        <f t="shared" si="31"/>
        <v>9.6</v>
      </c>
      <c r="S54" s="1">
        <f t="shared" si="34"/>
        <v>98.899999999999991</v>
      </c>
      <c r="U54" s="3">
        <f t="shared" si="32"/>
        <v>21</v>
      </c>
      <c r="V54" s="1">
        <f t="shared" si="33"/>
        <v>10.899999999999999</v>
      </c>
      <c r="W54" s="1">
        <f t="shared" si="33"/>
        <v>9.6999999999999993</v>
      </c>
      <c r="X54" s="1">
        <f t="shared" si="33"/>
        <v>10.75</v>
      </c>
      <c r="Y54" s="1">
        <f t="shared" si="33"/>
        <v>10.299999999999999</v>
      </c>
      <c r="Z54" s="1">
        <f t="shared" si="33"/>
        <v>0</v>
      </c>
      <c r="AA54" s="1">
        <f t="shared" si="33"/>
        <v>10.299999999999999</v>
      </c>
      <c r="AB54" s="1">
        <f t="shared" si="33"/>
        <v>11.549999999999999</v>
      </c>
      <c r="AC54" s="1">
        <f t="shared" si="33"/>
        <v>12.45</v>
      </c>
      <c r="AD54" s="1">
        <f t="shared" si="33"/>
        <v>12.149999999999999</v>
      </c>
      <c r="AE54" s="1">
        <f t="shared" si="33"/>
        <v>10</v>
      </c>
      <c r="AF54" s="1">
        <f t="shared" si="33"/>
        <v>11.249999999999998</v>
      </c>
      <c r="AG54" s="1">
        <f t="shared" si="33"/>
        <v>11.799999999999999</v>
      </c>
      <c r="AH54" s="1">
        <f t="shared" si="35"/>
        <v>121.14999999999999</v>
      </c>
    </row>
    <row r="55" spans="6:34" x14ac:dyDescent="0.45">
      <c r="F55" s="3">
        <f t="shared" si="30"/>
        <v>42</v>
      </c>
      <c r="G55" s="1">
        <f t="shared" si="31"/>
        <v>8.2999999999999989</v>
      </c>
      <c r="H55" s="1">
        <f t="shared" si="31"/>
        <v>9.8000000000000007</v>
      </c>
      <c r="I55" s="1">
        <f t="shared" si="31"/>
        <v>7.4</v>
      </c>
      <c r="J55" s="1">
        <f t="shared" si="31"/>
        <v>8.1999999999999993</v>
      </c>
      <c r="K55" s="1">
        <f t="shared" si="31"/>
        <v>8.3999999999999986</v>
      </c>
      <c r="L55" s="1">
        <f t="shared" si="31"/>
        <v>0</v>
      </c>
      <c r="M55" s="1">
        <f t="shared" si="31"/>
        <v>10.100000000000001</v>
      </c>
      <c r="N55" s="1">
        <f t="shared" si="31"/>
        <v>10.7</v>
      </c>
      <c r="O55" s="1">
        <f t="shared" si="31"/>
        <v>10</v>
      </c>
      <c r="P55" s="1">
        <f t="shared" si="31"/>
        <v>8.5</v>
      </c>
      <c r="Q55" s="1">
        <f t="shared" si="31"/>
        <v>8.1999999999999993</v>
      </c>
      <c r="R55" s="1">
        <f t="shared" si="31"/>
        <v>8.3999999999999986</v>
      </c>
      <c r="S55" s="1">
        <f t="shared" si="34"/>
        <v>98</v>
      </c>
      <c r="U55" s="3">
        <f t="shared" si="32"/>
        <v>42</v>
      </c>
      <c r="V55" s="1">
        <f t="shared" si="33"/>
        <v>10.049999999999999</v>
      </c>
      <c r="W55" s="1">
        <f t="shared" si="33"/>
        <v>12.1</v>
      </c>
      <c r="X55" s="1">
        <f t="shared" si="33"/>
        <v>9.1</v>
      </c>
      <c r="Y55" s="1">
        <f t="shared" si="33"/>
        <v>9.8999999999999986</v>
      </c>
      <c r="Z55" s="1">
        <f t="shared" si="33"/>
        <v>10.299999999999999</v>
      </c>
      <c r="AA55" s="1">
        <f t="shared" si="33"/>
        <v>0</v>
      </c>
      <c r="AB55" s="1">
        <f t="shared" si="33"/>
        <v>12.349999999999998</v>
      </c>
      <c r="AC55" s="1">
        <f t="shared" si="33"/>
        <v>13.05</v>
      </c>
      <c r="AD55" s="1">
        <f t="shared" si="33"/>
        <v>12</v>
      </c>
      <c r="AE55" s="1">
        <f t="shared" si="33"/>
        <v>10.349999999999998</v>
      </c>
      <c r="AF55" s="1">
        <f t="shared" si="33"/>
        <v>10.1</v>
      </c>
      <c r="AG55" s="1">
        <f t="shared" si="33"/>
        <v>10.299999999999999</v>
      </c>
      <c r="AH55" s="1">
        <f t="shared" si="35"/>
        <v>119.59999999999998</v>
      </c>
    </row>
    <row r="56" spans="6:34" x14ac:dyDescent="0.45">
      <c r="F56" s="3">
        <f t="shared" si="30"/>
        <v>43</v>
      </c>
      <c r="G56" s="1">
        <f t="shared" si="31"/>
        <v>9.1</v>
      </c>
      <c r="H56" s="1">
        <f t="shared" si="31"/>
        <v>8.1</v>
      </c>
      <c r="I56" s="1">
        <f t="shared" si="31"/>
        <v>8.5</v>
      </c>
      <c r="J56" s="1">
        <f t="shared" si="31"/>
        <v>9.1</v>
      </c>
      <c r="K56" s="1">
        <f t="shared" si="31"/>
        <v>9.5</v>
      </c>
      <c r="L56" s="1">
        <f t="shared" si="31"/>
        <v>10.100000000000001</v>
      </c>
      <c r="M56" s="1">
        <f t="shared" si="31"/>
        <v>0</v>
      </c>
      <c r="N56" s="1">
        <f t="shared" si="31"/>
        <v>9.6000000000000014</v>
      </c>
      <c r="O56" s="1">
        <f t="shared" si="31"/>
        <v>8.9</v>
      </c>
      <c r="P56" s="1">
        <f t="shared" si="31"/>
        <v>8.6</v>
      </c>
      <c r="Q56" s="1">
        <f t="shared" si="31"/>
        <v>7.7</v>
      </c>
      <c r="R56" s="1">
        <f t="shared" si="31"/>
        <v>8.2999999999999989</v>
      </c>
      <c r="S56" s="1">
        <f t="shared" si="34"/>
        <v>97.5</v>
      </c>
      <c r="U56" s="3">
        <f t="shared" si="32"/>
        <v>43</v>
      </c>
      <c r="V56" s="1">
        <f t="shared" si="33"/>
        <v>11.15</v>
      </c>
      <c r="W56" s="1">
        <f t="shared" si="33"/>
        <v>9.9499999999999993</v>
      </c>
      <c r="X56" s="1">
        <f t="shared" si="33"/>
        <v>10.349999999999998</v>
      </c>
      <c r="Y56" s="1">
        <f t="shared" si="33"/>
        <v>11.15</v>
      </c>
      <c r="Z56" s="1">
        <f t="shared" si="33"/>
        <v>11.549999999999999</v>
      </c>
      <c r="AA56" s="1">
        <f t="shared" si="33"/>
        <v>12.349999999999998</v>
      </c>
      <c r="AB56" s="1">
        <f t="shared" si="33"/>
        <v>0</v>
      </c>
      <c r="AC56" s="1">
        <f t="shared" si="33"/>
        <v>11.599999999999998</v>
      </c>
      <c r="AD56" s="1">
        <f t="shared" si="33"/>
        <v>10.75</v>
      </c>
      <c r="AE56" s="1">
        <f t="shared" si="33"/>
        <v>10.7</v>
      </c>
      <c r="AF56" s="1">
        <f t="shared" si="33"/>
        <v>9.5500000000000007</v>
      </c>
      <c r="AG56" s="1">
        <f t="shared" si="33"/>
        <v>10.149999999999999</v>
      </c>
      <c r="AH56" s="1">
        <f t="shared" si="35"/>
        <v>119.25</v>
      </c>
    </row>
    <row r="57" spans="6:34" x14ac:dyDescent="0.45">
      <c r="F57" s="3">
        <f t="shared" si="30"/>
        <v>31</v>
      </c>
      <c r="G57" s="1">
        <f t="shared" si="31"/>
        <v>10.100000000000001</v>
      </c>
      <c r="H57" s="1">
        <f t="shared" si="31"/>
        <v>8.5</v>
      </c>
      <c r="I57" s="1">
        <f t="shared" si="31"/>
        <v>9.1</v>
      </c>
      <c r="J57" s="1">
        <f t="shared" si="31"/>
        <v>8.3999999999999986</v>
      </c>
      <c r="K57" s="1">
        <f t="shared" si="31"/>
        <v>10.1</v>
      </c>
      <c r="L57" s="1">
        <f t="shared" si="31"/>
        <v>10.7</v>
      </c>
      <c r="M57" s="1">
        <f t="shared" si="31"/>
        <v>9.6000000000000014</v>
      </c>
      <c r="N57" s="1">
        <f t="shared" si="31"/>
        <v>0</v>
      </c>
      <c r="O57" s="1">
        <f t="shared" si="31"/>
        <v>7.4</v>
      </c>
      <c r="P57" s="1">
        <f t="shared" si="31"/>
        <v>10.1</v>
      </c>
      <c r="Q57" s="1">
        <f t="shared" si="31"/>
        <v>9.8000000000000007</v>
      </c>
      <c r="R57" s="1">
        <f t="shared" si="31"/>
        <v>7.6999999999999993</v>
      </c>
      <c r="S57" s="1">
        <f t="shared" si="34"/>
        <v>101.5</v>
      </c>
      <c r="U57" s="3">
        <f t="shared" si="32"/>
        <v>31</v>
      </c>
      <c r="V57" s="1">
        <f t="shared" si="33"/>
        <v>12.349999999999998</v>
      </c>
      <c r="W57" s="1">
        <f t="shared" si="33"/>
        <v>10.349999999999998</v>
      </c>
      <c r="X57" s="1">
        <f t="shared" si="33"/>
        <v>10.95</v>
      </c>
      <c r="Y57" s="1">
        <f t="shared" si="33"/>
        <v>10.299999999999999</v>
      </c>
      <c r="Z57" s="1">
        <f t="shared" si="33"/>
        <v>12.45</v>
      </c>
      <c r="AA57" s="1">
        <f t="shared" si="33"/>
        <v>13.05</v>
      </c>
      <c r="AB57" s="1">
        <f t="shared" si="33"/>
        <v>11.599999999999998</v>
      </c>
      <c r="AC57" s="1">
        <f t="shared" si="33"/>
        <v>0</v>
      </c>
      <c r="AD57" s="1">
        <f t="shared" si="33"/>
        <v>9</v>
      </c>
      <c r="AE57" s="1">
        <f t="shared" si="33"/>
        <v>12.45</v>
      </c>
      <c r="AF57" s="1">
        <f t="shared" si="33"/>
        <v>11.899999999999999</v>
      </c>
      <c r="AG57" s="1">
        <f t="shared" si="33"/>
        <v>9.35</v>
      </c>
      <c r="AH57" s="1">
        <f t="shared" si="35"/>
        <v>123.74999999999997</v>
      </c>
    </row>
    <row r="58" spans="6:34" x14ac:dyDescent="0.45">
      <c r="F58" s="3">
        <f t="shared" si="30"/>
        <v>33</v>
      </c>
      <c r="G58" s="1">
        <f t="shared" si="31"/>
        <v>10</v>
      </c>
      <c r="H58" s="1">
        <f t="shared" si="31"/>
        <v>8</v>
      </c>
      <c r="I58" s="1">
        <f t="shared" si="31"/>
        <v>8.6</v>
      </c>
      <c r="J58" s="1">
        <f t="shared" si="31"/>
        <v>8.7999999999999989</v>
      </c>
      <c r="K58" s="1">
        <f t="shared" si="31"/>
        <v>9.9</v>
      </c>
      <c r="L58" s="1">
        <f t="shared" si="31"/>
        <v>10</v>
      </c>
      <c r="M58" s="1">
        <f t="shared" si="31"/>
        <v>8.9</v>
      </c>
      <c r="N58" s="1">
        <f t="shared" si="31"/>
        <v>7.4</v>
      </c>
      <c r="O58" s="1">
        <f t="shared" si="31"/>
        <v>0</v>
      </c>
      <c r="P58" s="1">
        <f t="shared" si="31"/>
        <v>7.6</v>
      </c>
      <c r="Q58" s="1">
        <f t="shared" si="31"/>
        <v>9</v>
      </c>
      <c r="R58" s="1">
        <f t="shared" si="31"/>
        <v>10.6</v>
      </c>
      <c r="S58" s="1">
        <f t="shared" si="34"/>
        <v>98.8</v>
      </c>
      <c r="U58" s="3">
        <f t="shared" si="32"/>
        <v>33</v>
      </c>
      <c r="V58" s="1">
        <f t="shared" si="33"/>
        <v>12.2</v>
      </c>
      <c r="W58" s="1">
        <f t="shared" si="33"/>
        <v>9.8999999999999986</v>
      </c>
      <c r="X58" s="1">
        <f t="shared" si="33"/>
        <v>10.7</v>
      </c>
      <c r="Y58" s="1">
        <f t="shared" si="33"/>
        <v>10.799999999999999</v>
      </c>
      <c r="Z58" s="1">
        <f t="shared" si="33"/>
        <v>12.149999999999999</v>
      </c>
      <c r="AA58" s="1">
        <f t="shared" si="33"/>
        <v>12</v>
      </c>
      <c r="AB58" s="1">
        <f t="shared" si="33"/>
        <v>10.75</v>
      </c>
      <c r="AC58" s="1">
        <f t="shared" si="33"/>
        <v>9</v>
      </c>
      <c r="AD58" s="1">
        <f t="shared" si="33"/>
        <v>0</v>
      </c>
      <c r="AE58" s="1">
        <f t="shared" si="33"/>
        <v>9.1999999999999993</v>
      </c>
      <c r="AF58" s="1">
        <f t="shared" si="33"/>
        <v>11</v>
      </c>
      <c r="AG58" s="1">
        <f t="shared" si="33"/>
        <v>12.9</v>
      </c>
      <c r="AH58" s="1">
        <f t="shared" si="35"/>
        <v>120.60000000000001</v>
      </c>
    </row>
    <row r="59" spans="6:34" x14ac:dyDescent="0.45">
      <c r="F59" s="3">
        <f t="shared" si="30"/>
        <v>30</v>
      </c>
      <c r="G59" s="1">
        <f t="shared" si="31"/>
        <v>8.6</v>
      </c>
      <c r="H59" s="1">
        <f t="shared" si="31"/>
        <v>8.6</v>
      </c>
      <c r="I59" s="1">
        <f t="shared" si="31"/>
        <v>9.6</v>
      </c>
      <c r="J59" s="1">
        <f t="shared" si="31"/>
        <v>8</v>
      </c>
      <c r="K59" s="1">
        <f t="shared" si="31"/>
        <v>8</v>
      </c>
      <c r="L59" s="1">
        <f t="shared" si="31"/>
        <v>8.5</v>
      </c>
      <c r="M59" s="1">
        <f t="shared" si="31"/>
        <v>8.6</v>
      </c>
      <c r="N59" s="1">
        <f t="shared" si="31"/>
        <v>10.1</v>
      </c>
      <c r="O59" s="1">
        <f t="shared" si="31"/>
        <v>7.6</v>
      </c>
      <c r="P59" s="1">
        <f t="shared" si="31"/>
        <v>0</v>
      </c>
      <c r="Q59" s="1">
        <f t="shared" si="31"/>
        <v>10.200000000000001</v>
      </c>
      <c r="R59" s="1">
        <f t="shared" si="31"/>
        <v>9.1999999999999993</v>
      </c>
      <c r="S59" s="1">
        <f t="shared" si="34"/>
        <v>97</v>
      </c>
      <c r="U59" s="3">
        <f t="shared" si="32"/>
        <v>30</v>
      </c>
      <c r="V59" s="1">
        <f t="shared" si="33"/>
        <v>10.599999999999998</v>
      </c>
      <c r="W59" s="1">
        <f t="shared" si="33"/>
        <v>10.4</v>
      </c>
      <c r="X59" s="1">
        <f t="shared" si="33"/>
        <v>11.7</v>
      </c>
      <c r="Y59" s="1">
        <f t="shared" si="33"/>
        <v>10</v>
      </c>
      <c r="Z59" s="1">
        <f t="shared" si="33"/>
        <v>10</v>
      </c>
      <c r="AA59" s="1">
        <f t="shared" si="33"/>
        <v>10.349999999999998</v>
      </c>
      <c r="AB59" s="1">
        <f t="shared" si="33"/>
        <v>10.7</v>
      </c>
      <c r="AC59" s="1">
        <f t="shared" si="33"/>
        <v>12.45</v>
      </c>
      <c r="AD59" s="1">
        <f t="shared" si="33"/>
        <v>9.1999999999999993</v>
      </c>
      <c r="AE59" s="1">
        <f t="shared" si="33"/>
        <v>0</v>
      </c>
      <c r="AF59" s="1">
        <f t="shared" si="33"/>
        <v>12.499999999999998</v>
      </c>
      <c r="AG59" s="1">
        <f t="shared" si="33"/>
        <v>11.3</v>
      </c>
      <c r="AH59" s="1">
        <f t="shared" si="35"/>
        <v>119.2</v>
      </c>
    </row>
    <row r="60" spans="6:34" x14ac:dyDescent="0.45">
      <c r="F60" s="3">
        <f t="shared" si="30"/>
        <v>18</v>
      </c>
      <c r="G60" s="1">
        <f t="shared" si="31"/>
        <v>9.9</v>
      </c>
      <c r="H60" s="1">
        <f t="shared" si="31"/>
        <v>7.4</v>
      </c>
      <c r="I60" s="1">
        <f t="shared" si="31"/>
        <v>8.1999999999999993</v>
      </c>
      <c r="J60" s="1">
        <f t="shared" si="31"/>
        <v>9.8999999999999986</v>
      </c>
      <c r="K60" s="1">
        <f t="shared" si="31"/>
        <v>9.1</v>
      </c>
      <c r="L60" s="1">
        <f t="shared" si="31"/>
        <v>8.1999999999999993</v>
      </c>
      <c r="M60" s="1">
        <f t="shared" si="31"/>
        <v>7.7</v>
      </c>
      <c r="N60" s="1">
        <f t="shared" si="31"/>
        <v>9.8000000000000007</v>
      </c>
      <c r="O60" s="1">
        <f t="shared" si="31"/>
        <v>9</v>
      </c>
      <c r="P60" s="1">
        <f t="shared" si="31"/>
        <v>10.200000000000001</v>
      </c>
      <c r="Q60" s="1">
        <f t="shared" si="31"/>
        <v>0</v>
      </c>
      <c r="R60" s="1">
        <f t="shared" si="31"/>
        <v>9.1999999999999993</v>
      </c>
      <c r="S60" s="1">
        <f t="shared" si="34"/>
        <v>98.600000000000009</v>
      </c>
      <c r="U60" s="3">
        <f t="shared" si="32"/>
        <v>18</v>
      </c>
      <c r="V60" s="1">
        <f t="shared" si="33"/>
        <v>12.049999999999999</v>
      </c>
      <c r="W60" s="1">
        <f t="shared" si="33"/>
        <v>9</v>
      </c>
      <c r="X60" s="1">
        <f t="shared" si="33"/>
        <v>10.199999999999999</v>
      </c>
      <c r="Y60" s="1">
        <f t="shared" si="33"/>
        <v>11.95</v>
      </c>
      <c r="Z60" s="1">
        <f t="shared" si="33"/>
        <v>11.249999999999998</v>
      </c>
      <c r="AA60" s="1">
        <f t="shared" si="33"/>
        <v>10.1</v>
      </c>
      <c r="AB60" s="1">
        <f t="shared" si="33"/>
        <v>9.5500000000000007</v>
      </c>
      <c r="AC60" s="1">
        <f t="shared" si="33"/>
        <v>11.899999999999999</v>
      </c>
      <c r="AD60" s="1">
        <f t="shared" si="33"/>
        <v>11</v>
      </c>
      <c r="AE60" s="1">
        <f t="shared" si="33"/>
        <v>12.499999999999998</v>
      </c>
      <c r="AF60" s="1">
        <f t="shared" si="33"/>
        <v>0</v>
      </c>
      <c r="AG60" s="1">
        <f t="shared" si="33"/>
        <v>11.399999999999999</v>
      </c>
      <c r="AH60" s="1">
        <f t="shared" si="35"/>
        <v>120.9</v>
      </c>
    </row>
    <row r="61" spans="6:34" x14ac:dyDescent="0.45">
      <c r="F61" s="3">
        <f t="shared" si="30"/>
        <v>40</v>
      </c>
      <c r="G61" s="1">
        <f t="shared" si="31"/>
        <v>9.7999999999999989</v>
      </c>
      <c r="H61" s="1">
        <f t="shared" si="31"/>
        <v>9.9</v>
      </c>
      <c r="I61" s="1">
        <f t="shared" si="31"/>
        <v>10.3</v>
      </c>
      <c r="J61" s="1">
        <f t="shared" si="31"/>
        <v>10.4</v>
      </c>
      <c r="K61" s="1">
        <f t="shared" si="31"/>
        <v>9.6</v>
      </c>
      <c r="L61" s="1">
        <f t="shared" si="31"/>
        <v>8.3999999999999986</v>
      </c>
      <c r="M61" s="1">
        <f t="shared" si="31"/>
        <v>8.2999999999999989</v>
      </c>
      <c r="N61" s="1">
        <f t="shared" si="31"/>
        <v>7.6999999999999993</v>
      </c>
      <c r="O61" s="1">
        <f t="shared" si="31"/>
        <v>10.6</v>
      </c>
      <c r="P61" s="1">
        <f t="shared" si="31"/>
        <v>9.1999999999999993</v>
      </c>
      <c r="Q61" s="1">
        <f t="shared" si="31"/>
        <v>9.1999999999999993</v>
      </c>
      <c r="R61" s="1">
        <f t="shared" si="31"/>
        <v>0</v>
      </c>
      <c r="S61" s="1">
        <f t="shared" si="34"/>
        <v>103.4</v>
      </c>
      <c r="U61" s="3">
        <f t="shared" si="32"/>
        <v>40</v>
      </c>
      <c r="V61" s="1">
        <f t="shared" si="33"/>
        <v>11.799999999999999</v>
      </c>
      <c r="W61" s="1">
        <f t="shared" si="33"/>
        <v>12.149999999999999</v>
      </c>
      <c r="X61" s="1">
        <f t="shared" si="33"/>
        <v>12.649999999999999</v>
      </c>
      <c r="Y61" s="1">
        <f t="shared" si="33"/>
        <v>12.799999999999999</v>
      </c>
      <c r="Z61" s="1">
        <f t="shared" si="33"/>
        <v>11.799999999999999</v>
      </c>
      <c r="AA61" s="1">
        <f t="shared" si="33"/>
        <v>10.299999999999999</v>
      </c>
      <c r="AB61" s="1">
        <f t="shared" si="33"/>
        <v>10.149999999999999</v>
      </c>
      <c r="AC61" s="1">
        <f t="shared" si="33"/>
        <v>9.35</v>
      </c>
      <c r="AD61" s="1">
        <f t="shared" si="33"/>
        <v>12.9</v>
      </c>
      <c r="AE61" s="1">
        <f t="shared" si="33"/>
        <v>11.3</v>
      </c>
      <c r="AF61" s="1">
        <f t="shared" si="33"/>
        <v>11.399999999999999</v>
      </c>
      <c r="AG61" s="1">
        <f t="shared" si="33"/>
        <v>0</v>
      </c>
      <c r="AH61" s="1">
        <f t="shared" si="35"/>
        <v>126.59999999999997</v>
      </c>
    </row>
    <row r="62" spans="6:34" x14ac:dyDescent="0.45">
      <c r="F62" s="3" t="s">
        <v>329</v>
      </c>
      <c r="G62" s="1">
        <f>SUM(G50:G61)</f>
        <v>102.89999999999999</v>
      </c>
      <c r="H62" s="1">
        <f t="shared" ref="H62:R62" si="36">SUM(H50:H61)</f>
        <v>93.800000000000011</v>
      </c>
      <c r="I62" s="1">
        <f t="shared" si="36"/>
        <v>96.699999999999989</v>
      </c>
      <c r="J62" s="1">
        <f t="shared" si="36"/>
        <v>95.300000000000011</v>
      </c>
      <c r="K62" s="1">
        <f t="shared" si="36"/>
        <v>98.899999999999991</v>
      </c>
      <c r="L62" s="1">
        <f t="shared" si="36"/>
        <v>98</v>
      </c>
      <c r="M62" s="1">
        <f t="shared" si="36"/>
        <v>97.5</v>
      </c>
      <c r="N62" s="1">
        <f t="shared" si="36"/>
        <v>101.5</v>
      </c>
      <c r="O62" s="1">
        <f t="shared" si="36"/>
        <v>98.8</v>
      </c>
      <c r="P62" s="1">
        <f t="shared" si="36"/>
        <v>97</v>
      </c>
      <c r="Q62" s="1">
        <f t="shared" si="36"/>
        <v>98.600000000000009</v>
      </c>
      <c r="R62" s="1">
        <f t="shared" si="36"/>
        <v>103.4</v>
      </c>
      <c r="S62" s="1">
        <f t="shared" si="34"/>
        <v>1182.3999999999999</v>
      </c>
      <c r="U62" s="3" t="s">
        <v>329</v>
      </c>
      <c r="V62" s="1">
        <f>SUM(V50:V61)</f>
        <v>125.44999999999997</v>
      </c>
      <c r="W62" s="1">
        <f t="shared" ref="W62:AG62" si="37">SUM(W50:W61)</f>
        <v>115</v>
      </c>
      <c r="X62" s="1">
        <f t="shared" si="37"/>
        <v>118.45000000000002</v>
      </c>
      <c r="Y62" s="1">
        <f t="shared" si="37"/>
        <v>116.85</v>
      </c>
      <c r="Z62" s="1">
        <f t="shared" si="37"/>
        <v>121.14999999999999</v>
      </c>
      <c r="AA62" s="1">
        <f t="shared" si="37"/>
        <v>119.59999999999998</v>
      </c>
      <c r="AB62" s="1">
        <f t="shared" si="37"/>
        <v>119.25</v>
      </c>
      <c r="AC62" s="1">
        <f t="shared" si="37"/>
        <v>123.74999999999997</v>
      </c>
      <c r="AD62" s="1">
        <f t="shared" si="37"/>
        <v>120.60000000000001</v>
      </c>
      <c r="AE62" s="1">
        <f t="shared" si="37"/>
        <v>119.2</v>
      </c>
      <c r="AF62" s="1">
        <f t="shared" si="37"/>
        <v>120.9</v>
      </c>
      <c r="AG62" s="1">
        <f t="shared" si="37"/>
        <v>126.59999999999997</v>
      </c>
      <c r="AH62" s="1">
        <f t="shared" si="35"/>
        <v>1446.8</v>
      </c>
    </row>
    <row r="65" spans="6:34" x14ac:dyDescent="0.45">
      <c r="F65" s="4" t="s">
        <v>167</v>
      </c>
      <c r="G65" s="3">
        <f t="shared" ref="G65:R65" si="38">G33</f>
        <v>9</v>
      </c>
      <c r="H65" s="3">
        <f t="shared" si="38"/>
        <v>12</v>
      </c>
      <c r="I65" s="3">
        <f t="shared" si="38"/>
        <v>29</v>
      </c>
      <c r="J65" s="3">
        <f t="shared" si="38"/>
        <v>24</v>
      </c>
      <c r="K65" s="3">
        <f t="shared" si="38"/>
        <v>21</v>
      </c>
      <c r="L65" s="3">
        <f t="shared" si="38"/>
        <v>42</v>
      </c>
      <c r="M65" s="3">
        <f t="shared" si="38"/>
        <v>43</v>
      </c>
      <c r="N65" s="3">
        <f t="shared" si="38"/>
        <v>31</v>
      </c>
      <c r="O65" s="3">
        <f t="shared" si="38"/>
        <v>33</v>
      </c>
      <c r="P65" s="3">
        <f t="shared" si="38"/>
        <v>30</v>
      </c>
      <c r="Q65" s="3">
        <f t="shared" si="38"/>
        <v>18</v>
      </c>
      <c r="R65" s="3">
        <f t="shared" si="38"/>
        <v>40</v>
      </c>
      <c r="S65" s="3" t="s">
        <v>329</v>
      </c>
      <c r="U65" s="4" t="s">
        <v>185</v>
      </c>
      <c r="V65" s="3">
        <f t="shared" ref="V65:AG65" si="39">V33</f>
        <v>9</v>
      </c>
      <c r="W65" s="3">
        <f t="shared" si="39"/>
        <v>12</v>
      </c>
      <c r="X65" s="3">
        <f t="shared" si="39"/>
        <v>29</v>
      </c>
      <c r="Y65" s="3">
        <f t="shared" si="39"/>
        <v>24</v>
      </c>
      <c r="Z65" s="3">
        <f t="shared" si="39"/>
        <v>21</v>
      </c>
      <c r="AA65" s="3">
        <f t="shared" si="39"/>
        <v>42</v>
      </c>
      <c r="AB65" s="3">
        <f t="shared" si="39"/>
        <v>43</v>
      </c>
      <c r="AC65" s="3">
        <f t="shared" si="39"/>
        <v>31</v>
      </c>
      <c r="AD65" s="3">
        <f t="shared" si="39"/>
        <v>33</v>
      </c>
      <c r="AE65" s="3">
        <f t="shared" si="39"/>
        <v>30</v>
      </c>
      <c r="AF65" s="3">
        <f t="shared" si="39"/>
        <v>18</v>
      </c>
      <c r="AG65" s="3">
        <f t="shared" si="39"/>
        <v>40</v>
      </c>
      <c r="AH65" s="3" t="s">
        <v>329</v>
      </c>
    </row>
    <row r="66" spans="6:34" x14ac:dyDescent="0.45">
      <c r="F66" s="3">
        <f t="shared" ref="F66:F77" si="40">F34</f>
        <v>9</v>
      </c>
      <c r="G66" s="1">
        <f t="shared" ref="G66:R77" si="41">$D$20*G98+$D$21*G130</f>
        <v>0</v>
      </c>
      <c r="H66" s="1">
        <f t="shared" si="41"/>
        <v>10.100000000000001</v>
      </c>
      <c r="I66" s="1">
        <f t="shared" si="41"/>
        <v>10.5</v>
      </c>
      <c r="J66" s="1">
        <f t="shared" si="41"/>
        <v>9.9</v>
      </c>
      <c r="K66" s="1">
        <f t="shared" si="41"/>
        <v>8.4</v>
      </c>
      <c r="L66" s="1">
        <f t="shared" si="41"/>
        <v>10.100000000000001</v>
      </c>
      <c r="M66" s="1">
        <f t="shared" si="41"/>
        <v>8.8000000000000007</v>
      </c>
      <c r="N66" s="1">
        <f t="shared" si="41"/>
        <v>9.9</v>
      </c>
      <c r="O66" s="1">
        <f t="shared" si="41"/>
        <v>9.1</v>
      </c>
      <c r="P66" s="1">
        <f t="shared" si="41"/>
        <v>10.7</v>
      </c>
      <c r="Q66" s="1">
        <f t="shared" si="41"/>
        <v>8.6000000000000014</v>
      </c>
      <c r="R66" s="1">
        <f t="shared" si="41"/>
        <v>10.7</v>
      </c>
      <c r="S66" s="1">
        <f>SUM(G66:R66)</f>
        <v>106.8</v>
      </c>
      <c r="U66" s="3">
        <f t="shared" ref="U66:U77" si="42">U34</f>
        <v>9</v>
      </c>
      <c r="V66" s="1">
        <f t="shared" ref="V66:AG77" si="43">$D$22*V98+$D$23*V130</f>
        <v>0</v>
      </c>
      <c r="W66" s="1">
        <f t="shared" si="43"/>
        <v>13.65</v>
      </c>
      <c r="X66" s="1">
        <f t="shared" si="43"/>
        <v>14.25</v>
      </c>
      <c r="Y66" s="1">
        <f t="shared" si="43"/>
        <v>13.45</v>
      </c>
      <c r="Z66" s="1">
        <f t="shared" si="43"/>
        <v>11.5</v>
      </c>
      <c r="AA66" s="1">
        <f t="shared" si="43"/>
        <v>13.75</v>
      </c>
      <c r="AB66" s="1">
        <f t="shared" si="43"/>
        <v>12.1</v>
      </c>
      <c r="AC66" s="1">
        <f t="shared" si="43"/>
        <v>13.45</v>
      </c>
      <c r="AD66" s="1">
        <f t="shared" si="43"/>
        <v>12.35</v>
      </c>
      <c r="AE66" s="1">
        <f t="shared" si="43"/>
        <v>14.149999999999999</v>
      </c>
      <c r="AF66" s="1">
        <f t="shared" si="43"/>
        <v>11.799999999999999</v>
      </c>
      <c r="AG66" s="1">
        <f t="shared" si="43"/>
        <v>14.45</v>
      </c>
      <c r="AH66" s="1">
        <f>SUM(V66:AG66)</f>
        <v>144.89999999999998</v>
      </c>
    </row>
    <row r="67" spans="6:34" x14ac:dyDescent="0.45">
      <c r="F67" s="3">
        <f t="shared" si="40"/>
        <v>12</v>
      </c>
      <c r="G67" s="1">
        <f t="shared" si="41"/>
        <v>10.100000000000001</v>
      </c>
      <c r="H67" s="1">
        <f t="shared" si="41"/>
        <v>0</v>
      </c>
      <c r="I67" s="1">
        <f t="shared" si="41"/>
        <v>11.100000000000001</v>
      </c>
      <c r="J67" s="1">
        <f t="shared" si="41"/>
        <v>9.6999999999999993</v>
      </c>
      <c r="K67" s="1">
        <f t="shared" si="41"/>
        <v>9.3000000000000007</v>
      </c>
      <c r="L67" s="1">
        <f t="shared" si="41"/>
        <v>9.6000000000000014</v>
      </c>
      <c r="M67" s="1">
        <f t="shared" si="41"/>
        <v>9.5</v>
      </c>
      <c r="N67" s="1">
        <f t="shared" si="41"/>
        <v>10.5</v>
      </c>
      <c r="O67" s="1">
        <f t="shared" si="41"/>
        <v>9.6000000000000014</v>
      </c>
      <c r="P67" s="1">
        <f t="shared" si="41"/>
        <v>10.4</v>
      </c>
      <c r="Q67" s="1">
        <f t="shared" si="41"/>
        <v>10.8</v>
      </c>
      <c r="R67" s="1">
        <f t="shared" si="41"/>
        <v>10.199999999999999</v>
      </c>
      <c r="S67" s="1">
        <f t="shared" ref="S67:S78" si="44">SUM(G67:R67)</f>
        <v>110.80000000000001</v>
      </c>
      <c r="U67" s="3">
        <f t="shared" si="42"/>
        <v>12</v>
      </c>
      <c r="V67" s="1">
        <f t="shared" si="43"/>
        <v>13.65</v>
      </c>
      <c r="W67" s="1">
        <f t="shared" si="43"/>
        <v>0</v>
      </c>
      <c r="X67" s="1">
        <f t="shared" si="43"/>
        <v>14.649999999999999</v>
      </c>
      <c r="Y67" s="1">
        <f t="shared" si="43"/>
        <v>13.149999999999999</v>
      </c>
      <c r="Z67" s="1">
        <f t="shared" si="43"/>
        <v>12.749999999999998</v>
      </c>
      <c r="AA67" s="1">
        <f t="shared" si="43"/>
        <v>13</v>
      </c>
      <c r="AB67" s="1">
        <f t="shared" si="43"/>
        <v>12.75</v>
      </c>
      <c r="AC67" s="1">
        <f t="shared" si="43"/>
        <v>14.25</v>
      </c>
      <c r="AD67" s="1">
        <f t="shared" si="43"/>
        <v>12.899999999999999</v>
      </c>
      <c r="AE67" s="1">
        <f t="shared" si="43"/>
        <v>13.899999999999999</v>
      </c>
      <c r="AF67" s="1">
        <f t="shared" si="43"/>
        <v>14.399999999999999</v>
      </c>
      <c r="AG67" s="1">
        <f t="shared" si="43"/>
        <v>13.799999999999999</v>
      </c>
      <c r="AH67" s="1">
        <f t="shared" ref="AH67:AH78" si="45">SUM(V67:AG67)</f>
        <v>149.20000000000002</v>
      </c>
    </row>
    <row r="68" spans="6:34" x14ac:dyDescent="0.45">
      <c r="F68" s="3">
        <f t="shared" si="40"/>
        <v>29</v>
      </c>
      <c r="G68" s="1">
        <f t="shared" si="41"/>
        <v>10.5</v>
      </c>
      <c r="H68" s="1">
        <f t="shared" si="41"/>
        <v>11.100000000000001</v>
      </c>
      <c r="I68" s="1">
        <f t="shared" si="41"/>
        <v>0</v>
      </c>
      <c r="J68" s="1">
        <f t="shared" si="41"/>
        <v>10.9</v>
      </c>
      <c r="K68" s="1">
        <f t="shared" si="41"/>
        <v>8</v>
      </c>
      <c r="L68" s="1">
        <f t="shared" si="41"/>
        <v>11.7</v>
      </c>
      <c r="M68" s="1">
        <f t="shared" si="41"/>
        <v>10.1</v>
      </c>
      <c r="N68" s="1">
        <f t="shared" si="41"/>
        <v>9.1</v>
      </c>
      <c r="O68" s="1">
        <f t="shared" si="41"/>
        <v>9.1</v>
      </c>
      <c r="P68" s="1">
        <f t="shared" si="41"/>
        <v>10.199999999999999</v>
      </c>
      <c r="Q68" s="1">
        <f t="shared" si="41"/>
        <v>10.199999999999999</v>
      </c>
      <c r="R68" s="1">
        <f t="shared" si="41"/>
        <v>8.5</v>
      </c>
      <c r="S68" s="1">
        <f t="shared" si="44"/>
        <v>109.4</v>
      </c>
      <c r="U68" s="3">
        <f t="shared" si="42"/>
        <v>29</v>
      </c>
      <c r="V68" s="1">
        <f t="shared" si="43"/>
        <v>14.25</v>
      </c>
      <c r="W68" s="1">
        <f t="shared" si="43"/>
        <v>14.649999999999999</v>
      </c>
      <c r="X68" s="1">
        <f t="shared" si="43"/>
        <v>0</v>
      </c>
      <c r="Y68" s="1">
        <f t="shared" si="43"/>
        <v>14.649999999999999</v>
      </c>
      <c r="Z68" s="1">
        <f t="shared" si="43"/>
        <v>11</v>
      </c>
      <c r="AA68" s="1">
        <f t="shared" si="43"/>
        <v>15.649999999999999</v>
      </c>
      <c r="AB68" s="1">
        <f t="shared" si="43"/>
        <v>13.45</v>
      </c>
      <c r="AC68" s="1">
        <f t="shared" si="43"/>
        <v>12.35</v>
      </c>
      <c r="AD68" s="1">
        <f t="shared" si="43"/>
        <v>12.35</v>
      </c>
      <c r="AE68" s="1">
        <f t="shared" si="43"/>
        <v>13.899999999999999</v>
      </c>
      <c r="AF68" s="1">
        <f t="shared" si="43"/>
        <v>13.599999999999998</v>
      </c>
      <c r="AG68" s="1">
        <f t="shared" si="43"/>
        <v>11.75</v>
      </c>
      <c r="AH68" s="1">
        <f t="shared" si="45"/>
        <v>147.59999999999997</v>
      </c>
    </row>
    <row r="69" spans="6:34" x14ac:dyDescent="0.45">
      <c r="F69" s="3">
        <f t="shared" si="40"/>
        <v>24</v>
      </c>
      <c r="G69" s="1">
        <f t="shared" si="41"/>
        <v>9.9</v>
      </c>
      <c r="H69" s="1">
        <f t="shared" si="41"/>
        <v>9.6999999999999993</v>
      </c>
      <c r="I69" s="1">
        <f t="shared" si="41"/>
        <v>10.9</v>
      </c>
      <c r="J69" s="1">
        <f t="shared" si="41"/>
        <v>0</v>
      </c>
      <c r="K69" s="1">
        <f t="shared" si="41"/>
        <v>9.1</v>
      </c>
      <c r="L69" s="1">
        <f t="shared" si="41"/>
        <v>9.6999999999999993</v>
      </c>
      <c r="M69" s="1">
        <f t="shared" si="41"/>
        <v>8.4</v>
      </c>
      <c r="N69" s="1">
        <f t="shared" si="41"/>
        <v>9</v>
      </c>
      <c r="O69" s="1">
        <f t="shared" si="41"/>
        <v>9.1999999999999993</v>
      </c>
      <c r="P69" s="1">
        <f t="shared" si="41"/>
        <v>8.6000000000000014</v>
      </c>
      <c r="Q69" s="1">
        <f t="shared" si="41"/>
        <v>8.6</v>
      </c>
      <c r="R69" s="1">
        <f t="shared" si="41"/>
        <v>9.4</v>
      </c>
      <c r="S69" s="1">
        <f t="shared" si="44"/>
        <v>102.5</v>
      </c>
      <c r="U69" s="3">
        <f t="shared" si="42"/>
        <v>24</v>
      </c>
      <c r="V69" s="1">
        <f t="shared" si="43"/>
        <v>13.45</v>
      </c>
      <c r="W69" s="1">
        <f t="shared" si="43"/>
        <v>13.149999999999999</v>
      </c>
      <c r="X69" s="1">
        <f t="shared" si="43"/>
        <v>14.649999999999999</v>
      </c>
      <c r="Y69" s="1">
        <f t="shared" si="43"/>
        <v>0</v>
      </c>
      <c r="Z69" s="1">
        <f t="shared" si="43"/>
        <v>12.45</v>
      </c>
      <c r="AA69" s="1">
        <f t="shared" si="43"/>
        <v>13.05</v>
      </c>
      <c r="AB69" s="1">
        <f t="shared" si="43"/>
        <v>11.6</v>
      </c>
      <c r="AC69" s="1">
        <f t="shared" si="43"/>
        <v>12.2</v>
      </c>
      <c r="AD69" s="1">
        <f t="shared" si="43"/>
        <v>12.6</v>
      </c>
      <c r="AE69" s="1">
        <f t="shared" si="43"/>
        <v>11.799999999999999</v>
      </c>
      <c r="AF69" s="1">
        <f t="shared" si="43"/>
        <v>11.7</v>
      </c>
      <c r="AG69" s="1">
        <f t="shared" si="43"/>
        <v>12.8</v>
      </c>
      <c r="AH69" s="1">
        <f t="shared" si="45"/>
        <v>139.44999999999999</v>
      </c>
    </row>
    <row r="70" spans="6:34" x14ac:dyDescent="0.45">
      <c r="F70" s="3">
        <f t="shared" si="40"/>
        <v>21</v>
      </c>
      <c r="G70" s="1">
        <f t="shared" si="41"/>
        <v>8.4</v>
      </c>
      <c r="H70" s="1">
        <f t="shared" si="41"/>
        <v>9.3000000000000007</v>
      </c>
      <c r="I70" s="1">
        <f t="shared" si="41"/>
        <v>8</v>
      </c>
      <c r="J70" s="1">
        <f t="shared" si="41"/>
        <v>9.1</v>
      </c>
      <c r="K70" s="1">
        <f t="shared" si="41"/>
        <v>0</v>
      </c>
      <c r="L70" s="1">
        <f t="shared" si="41"/>
        <v>10.7</v>
      </c>
      <c r="M70" s="1">
        <f t="shared" si="41"/>
        <v>9.8000000000000007</v>
      </c>
      <c r="N70" s="1">
        <f t="shared" si="41"/>
        <v>8.5</v>
      </c>
      <c r="O70" s="1">
        <f t="shared" si="41"/>
        <v>10.5</v>
      </c>
      <c r="P70" s="1">
        <f t="shared" si="41"/>
        <v>10.5</v>
      </c>
      <c r="Q70" s="1">
        <f t="shared" si="41"/>
        <v>10.8</v>
      </c>
      <c r="R70" s="1">
        <f t="shared" si="41"/>
        <v>10.8</v>
      </c>
      <c r="S70" s="1">
        <f t="shared" si="44"/>
        <v>106.39999999999999</v>
      </c>
      <c r="U70" s="3">
        <f t="shared" si="42"/>
        <v>21</v>
      </c>
      <c r="V70" s="1">
        <f t="shared" si="43"/>
        <v>11.5</v>
      </c>
      <c r="W70" s="1">
        <f t="shared" si="43"/>
        <v>12.749999999999998</v>
      </c>
      <c r="X70" s="1">
        <f t="shared" si="43"/>
        <v>11</v>
      </c>
      <c r="Y70" s="1">
        <f t="shared" si="43"/>
        <v>12.45</v>
      </c>
      <c r="Z70" s="1">
        <f t="shared" si="43"/>
        <v>0</v>
      </c>
      <c r="AA70" s="1">
        <f t="shared" si="43"/>
        <v>14.149999999999999</v>
      </c>
      <c r="AB70" s="1">
        <f t="shared" si="43"/>
        <v>13.3</v>
      </c>
      <c r="AC70" s="1">
        <f t="shared" si="43"/>
        <v>11.649999999999999</v>
      </c>
      <c r="AD70" s="1">
        <f t="shared" si="43"/>
        <v>14.049999999999999</v>
      </c>
      <c r="AE70" s="1">
        <f t="shared" si="43"/>
        <v>14.25</v>
      </c>
      <c r="AF70" s="1">
        <f t="shared" si="43"/>
        <v>14.399999999999999</v>
      </c>
      <c r="AG70" s="1">
        <f t="shared" si="43"/>
        <v>14.299999999999999</v>
      </c>
      <c r="AH70" s="1">
        <f t="shared" si="45"/>
        <v>143.80000000000001</v>
      </c>
    </row>
    <row r="71" spans="6:34" x14ac:dyDescent="0.45">
      <c r="F71" s="3">
        <f t="shared" si="40"/>
        <v>42</v>
      </c>
      <c r="G71" s="1">
        <f t="shared" si="41"/>
        <v>10.100000000000001</v>
      </c>
      <c r="H71" s="1">
        <f t="shared" si="41"/>
        <v>9.6000000000000014</v>
      </c>
      <c r="I71" s="1">
        <f t="shared" si="41"/>
        <v>11.7</v>
      </c>
      <c r="J71" s="1">
        <f t="shared" si="41"/>
        <v>9.6999999999999993</v>
      </c>
      <c r="K71" s="1">
        <f t="shared" si="41"/>
        <v>10.7</v>
      </c>
      <c r="L71" s="1">
        <f t="shared" si="41"/>
        <v>0</v>
      </c>
      <c r="M71" s="1">
        <f t="shared" si="41"/>
        <v>10.1</v>
      </c>
      <c r="N71" s="1">
        <f t="shared" si="41"/>
        <v>10.4</v>
      </c>
      <c r="O71" s="1">
        <f t="shared" si="41"/>
        <v>10.8</v>
      </c>
      <c r="P71" s="1">
        <f t="shared" si="41"/>
        <v>9.5</v>
      </c>
      <c r="Q71" s="1">
        <f t="shared" si="41"/>
        <v>8.6000000000000014</v>
      </c>
      <c r="R71" s="1">
        <f t="shared" si="41"/>
        <v>8.5</v>
      </c>
      <c r="S71" s="1">
        <f t="shared" si="44"/>
        <v>109.69999999999999</v>
      </c>
      <c r="U71" s="3">
        <f t="shared" si="42"/>
        <v>42</v>
      </c>
      <c r="V71" s="1">
        <f t="shared" si="43"/>
        <v>13.75</v>
      </c>
      <c r="W71" s="1">
        <f t="shared" si="43"/>
        <v>13</v>
      </c>
      <c r="X71" s="1">
        <f t="shared" si="43"/>
        <v>15.649999999999999</v>
      </c>
      <c r="Y71" s="1">
        <f t="shared" si="43"/>
        <v>13.05</v>
      </c>
      <c r="Z71" s="1">
        <f t="shared" si="43"/>
        <v>14.149999999999999</v>
      </c>
      <c r="AA71" s="1">
        <f t="shared" si="43"/>
        <v>0</v>
      </c>
      <c r="AB71" s="1">
        <f t="shared" si="43"/>
        <v>13.45</v>
      </c>
      <c r="AC71" s="1">
        <f t="shared" si="43"/>
        <v>14</v>
      </c>
      <c r="AD71" s="1">
        <f t="shared" si="43"/>
        <v>14.6</v>
      </c>
      <c r="AE71" s="1">
        <f t="shared" si="43"/>
        <v>13.049999999999999</v>
      </c>
      <c r="AF71" s="1">
        <f t="shared" si="43"/>
        <v>11.799999999999999</v>
      </c>
      <c r="AG71" s="1">
        <f t="shared" si="43"/>
        <v>11.649999999999999</v>
      </c>
      <c r="AH71" s="1">
        <f t="shared" si="45"/>
        <v>148.15</v>
      </c>
    </row>
    <row r="72" spans="6:34" x14ac:dyDescent="0.45">
      <c r="F72" s="3">
        <f t="shared" si="40"/>
        <v>43</v>
      </c>
      <c r="G72" s="1">
        <f t="shared" si="41"/>
        <v>8.8000000000000007</v>
      </c>
      <c r="H72" s="1">
        <f t="shared" si="41"/>
        <v>9.5</v>
      </c>
      <c r="I72" s="1">
        <f t="shared" si="41"/>
        <v>10.1</v>
      </c>
      <c r="J72" s="1">
        <f t="shared" si="41"/>
        <v>8.4</v>
      </c>
      <c r="K72" s="1">
        <f t="shared" si="41"/>
        <v>9.8000000000000007</v>
      </c>
      <c r="L72" s="1">
        <f t="shared" si="41"/>
        <v>10.1</v>
      </c>
      <c r="M72" s="1">
        <f t="shared" si="41"/>
        <v>0</v>
      </c>
      <c r="N72" s="1">
        <f t="shared" si="41"/>
        <v>11.2</v>
      </c>
      <c r="O72" s="1">
        <f t="shared" si="41"/>
        <v>12</v>
      </c>
      <c r="P72" s="1">
        <f t="shared" si="41"/>
        <v>9.6</v>
      </c>
      <c r="Q72" s="1">
        <f t="shared" si="41"/>
        <v>8.4</v>
      </c>
      <c r="R72" s="1">
        <f t="shared" si="41"/>
        <v>9</v>
      </c>
      <c r="S72" s="1">
        <f t="shared" si="44"/>
        <v>106.89999999999999</v>
      </c>
      <c r="U72" s="3">
        <f t="shared" si="42"/>
        <v>43</v>
      </c>
      <c r="V72" s="1">
        <f t="shared" si="43"/>
        <v>12.1</v>
      </c>
      <c r="W72" s="1">
        <f t="shared" si="43"/>
        <v>12.75</v>
      </c>
      <c r="X72" s="1">
        <f t="shared" si="43"/>
        <v>13.45</v>
      </c>
      <c r="Y72" s="1">
        <f t="shared" si="43"/>
        <v>11.6</v>
      </c>
      <c r="Z72" s="1">
        <f t="shared" si="43"/>
        <v>13.3</v>
      </c>
      <c r="AA72" s="1">
        <f t="shared" si="43"/>
        <v>13.45</v>
      </c>
      <c r="AB72" s="1">
        <f t="shared" si="43"/>
        <v>0</v>
      </c>
      <c r="AC72" s="1">
        <f t="shared" si="43"/>
        <v>14.899999999999999</v>
      </c>
      <c r="AD72" s="1">
        <f t="shared" si="43"/>
        <v>16</v>
      </c>
      <c r="AE72" s="1">
        <f t="shared" si="43"/>
        <v>13.2</v>
      </c>
      <c r="AF72" s="1">
        <f t="shared" si="43"/>
        <v>11.6</v>
      </c>
      <c r="AG72" s="1">
        <f t="shared" si="43"/>
        <v>12.399999999999999</v>
      </c>
      <c r="AH72" s="1">
        <f t="shared" si="45"/>
        <v>144.75000000000003</v>
      </c>
    </row>
    <row r="73" spans="6:34" x14ac:dyDescent="0.45">
      <c r="F73" s="3">
        <f t="shared" si="40"/>
        <v>31</v>
      </c>
      <c r="G73" s="1">
        <f t="shared" si="41"/>
        <v>9.9</v>
      </c>
      <c r="H73" s="1">
        <f t="shared" si="41"/>
        <v>10.5</v>
      </c>
      <c r="I73" s="1">
        <f t="shared" si="41"/>
        <v>9.1</v>
      </c>
      <c r="J73" s="1">
        <f t="shared" si="41"/>
        <v>9</v>
      </c>
      <c r="K73" s="1">
        <f t="shared" si="41"/>
        <v>8.5</v>
      </c>
      <c r="L73" s="1">
        <f t="shared" si="41"/>
        <v>10.4</v>
      </c>
      <c r="M73" s="1">
        <f t="shared" si="41"/>
        <v>11.2</v>
      </c>
      <c r="N73" s="1">
        <f t="shared" si="41"/>
        <v>0</v>
      </c>
      <c r="O73" s="1">
        <f t="shared" si="41"/>
        <v>8.6000000000000014</v>
      </c>
      <c r="P73" s="1">
        <f t="shared" si="41"/>
        <v>11.5</v>
      </c>
      <c r="Q73" s="1">
        <f t="shared" si="41"/>
        <v>11.2</v>
      </c>
      <c r="R73" s="1">
        <f t="shared" si="41"/>
        <v>11.8</v>
      </c>
      <c r="S73" s="1">
        <f t="shared" si="44"/>
        <v>111.69999999999999</v>
      </c>
      <c r="U73" s="3">
        <f t="shared" si="42"/>
        <v>31</v>
      </c>
      <c r="V73" s="1">
        <f t="shared" si="43"/>
        <v>13.45</v>
      </c>
      <c r="W73" s="1">
        <f t="shared" si="43"/>
        <v>14.25</v>
      </c>
      <c r="X73" s="1">
        <f t="shared" si="43"/>
        <v>12.35</v>
      </c>
      <c r="Y73" s="1">
        <f t="shared" si="43"/>
        <v>12.2</v>
      </c>
      <c r="Z73" s="1">
        <f t="shared" si="43"/>
        <v>11.649999999999999</v>
      </c>
      <c r="AA73" s="1">
        <f t="shared" si="43"/>
        <v>14</v>
      </c>
      <c r="AB73" s="1">
        <f t="shared" si="43"/>
        <v>14.899999999999999</v>
      </c>
      <c r="AC73" s="1">
        <f t="shared" si="43"/>
        <v>0</v>
      </c>
      <c r="AD73" s="1">
        <f t="shared" si="43"/>
        <v>11.799999999999999</v>
      </c>
      <c r="AE73" s="1">
        <f t="shared" si="43"/>
        <v>15.349999999999998</v>
      </c>
      <c r="AF73" s="1">
        <f t="shared" si="43"/>
        <v>14.899999999999999</v>
      </c>
      <c r="AG73" s="1">
        <f t="shared" si="43"/>
        <v>15.7</v>
      </c>
      <c r="AH73" s="1">
        <f t="shared" si="45"/>
        <v>150.54999999999998</v>
      </c>
    </row>
    <row r="74" spans="6:34" x14ac:dyDescent="0.45">
      <c r="F74" s="3">
        <f t="shared" si="40"/>
        <v>33</v>
      </c>
      <c r="G74" s="1">
        <f t="shared" si="41"/>
        <v>9.1</v>
      </c>
      <c r="H74" s="1">
        <f t="shared" si="41"/>
        <v>9.6000000000000014</v>
      </c>
      <c r="I74" s="1">
        <f t="shared" si="41"/>
        <v>9.1</v>
      </c>
      <c r="J74" s="1">
        <f t="shared" si="41"/>
        <v>9.1999999999999993</v>
      </c>
      <c r="K74" s="1">
        <f t="shared" si="41"/>
        <v>10.5</v>
      </c>
      <c r="L74" s="1">
        <f t="shared" si="41"/>
        <v>10.8</v>
      </c>
      <c r="M74" s="1">
        <f t="shared" si="41"/>
        <v>12</v>
      </c>
      <c r="N74" s="1">
        <f t="shared" si="41"/>
        <v>8.6000000000000014</v>
      </c>
      <c r="O74" s="1">
        <f t="shared" si="41"/>
        <v>0</v>
      </c>
      <c r="P74" s="1">
        <f t="shared" si="41"/>
        <v>10.9</v>
      </c>
      <c r="Q74" s="1">
        <f t="shared" si="41"/>
        <v>8.6000000000000014</v>
      </c>
      <c r="R74" s="1">
        <f t="shared" si="41"/>
        <v>12</v>
      </c>
      <c r="S74" s="1">
        <f t="shared" si="44"/>
        <v>110.4</v>
      </c>
      <c r="U74" s="3">
        <f t="shared" si="42"/>
        <v>33</v>
      </c>
      <c r="V74" s="1">
        <f t="shared" si="43"/>
        <v>12.35</v>
      </c>
      <c r="W74" s="1">
        <f t="shared" si="43"/>
        <v>12.899999999999999</v>
      </c>
      <c r="X74" s="1">
        <f t="shared" si="43"/>
        <v>12.35</v>
      </c>
      <c r="Y74" s="1">
        <f t="shared" si="43"/>
        <v>12.6</v>
      </c>
      <c r="Z74" s="1">
        <f t="shared" si="43"/>
        <v>14.049999999999999</v>
      </c>
      <c r="AA74" s="1">
        <f t="shared" si="43"/>
        <v>14.6</v>
      </c>
      <c r="AB74" s="1">
        <f t="shared" si="43"/>
        <v>16</v>
      </c>
      <c r="AC74" s="1">
        <f t="shared" si="43"/>
        <v>11.799999999999999</v>
      </c>
      <c r="AD74" s="1">
        <f t="shared" si="43"/>
        <v>0</v>
      </c>
      <c r="AE74" s="1">
        <f t="shared" si="43"/>
        <v>14.649999999999999</v>
      </c>
      <c r="AF74" s="1">
        <f t="shared" si="43"/>
        <v>11.9</v>
      </c>
      <c r="AG74" s="1">
        <f t="shared" si="43"/>
        <v>16</v>
      </c>
      <c r="AH74" s="1">
        <f t="shared" si="45"/>
        <v>149.19999999999999</v>
      </c>
    </row>
    <row r="75" spans="6:34" x14ac:dyDescent="0.45">
      <c r="F75" s="3">
        <f t="shared" si="40"/>
        <v>30</v>
      </c>
      <c r="G75" s="1">
        <f t="shared" si="41"/>
        <v>10.7</v>
      </c>
      <c r="H75" s="1">
        <f t="shared" si="41"/>
        <v>10.4</v>
      </c>
      <c r="I75" s="1">
        <f t="shared" si="41"/>
        <v>10.199999999999999</v>
      </c>
      <c r="J75" s="1">
        <f t="shared" si="41"/>
        <v>8.6000000000000014</v>
      </c>
      <c r="K75" s="1">
        <f t="shared" si="41"/>
        <v>10.5</v>
      </c>
      <c r="L75" s="1">
        <f t="shared" si="41"/>
        <v>9.5</v>
      </c>
      <c r="M75" s="1">
        <f t="shared" si="41"/>
        <v>9.6</v>
      </c>
      <c r="N75" s="1">
        <f t="shared" si="41"/>
        <v>11.5</v>
      </c>
      <c r="O75" s="1">
        <f t="shared" si="41"/>
        <v>10.9</v>
      </c>
      <c r="P75" s="1">
        <f t="shared" si="41"/>
        <v>0</v>
      </c>
      <c r="Q75" s="1">
        <f t="shared" si="41"/>
        <v>9.6</v>
      </c>
      <c r="R75" s="1">
        <f t="shared" si="41"/>
        <v>10.7</v>
      </c>
      <c r="S75" s="1">
        <f t="shared" si="44"/>
        <v>112.2</v>
      </c>
      <c r="U75" s="3">
        <f t="shared" si="42"/>
        <v>30</v>
      </c>
      <c r="V75" s="1">
        <f t="shared" si="43"/>
        <v>14.149999999999999</v>
      </c>
      <c r="W75" s="1">
        <f t="shared" si="43"/>
        <v>13.899999999999999</v>
      </c>
      <c r="X75" s="1">
        <f t="shared" si="43"/>
        <v>13.899999999999999</v>
      </c>
      <c r="Y75" s="1">
        <f t="shared" si="43"/>
        <v>11.799999999999999</v>
      </c>
      <c r="Z75" s="1">
        <f t="shared" si="43"/>
        <v>14.25</v>
      </c>
      <c r="AA75" s="1">
        <f t="shared" si="43"/>
        <v>13.049999999999999</v>
      </c>
      <c r="AB75" s="1">
        <f t="shared" si="43"/>
        <v>13.2</v>
      </c>
      <c r="AC75" s="1">
        <f t="shared" si="43"/>
        <v>15.349999999999998</v>
      </c>
      <c r="AD75" s="1">
        <f t="shared" si="43"/>
        <v>14.649999999999999</v>
      </c>
      <c r="AE75" s="1">
        <f t="shared" si="43"/>
        <v>0</v>
      </c>
      <c r="AF75" s="1">
        <f t="shared" si="43"/>
        <v>13.2</v>
      </c>
      <c r="AG75" s="1">
        <f t="shared" si="43"/>
        <v>14.149999999999999</v>
      </c>
      <c r="AH75" s="1">
        <f t="shared" si="45"/>
        <v>151.6</v>
      </c>
    </row>
    <row r="76" spans="6:34" x14ac:dyDescent="0.45">
      <c r="F76" s="3">
        <f t="shared" si="40"/>
        <v>18</v>
      </c>
      <c r="G76" s="1">
        <f t="shared" si="41"/>
        <v>8.6000000000000014</v>
      </c>
      <c r="H76" s="1">
        <f t="shared" si="41"/>
        <v>10.8</v>
      </c>
      <c r="I76" s="1">
        <f t="shared" si="41"/>
        <v>10.199999999999999</v>
      </c>
      <c r="J76" s="1">
        <f t="shared" si="41"/>
        <v>8.6</v>
      </c>
      <c r="K76" s="1">
        <f t="shared" si="41"/>
        <v>10.8</v>
      </c>
      <c r="L76" s="1">
        <f t="shared" si="41"/>
        <v>8.6000000000000014</v>
      </c>
      <c r="M76" s="1">
        <f t="shared" si="41"/>
        <v>8.4</v>
      </c>
      <c r="N76" s="1">
        <f t="shared" si="41"/>
        <v>11.2</v>
      </c>
      <c r="O76" s="1">
        <f t="shared" si="41"/>
        <v>8.6000000000000014</v>
      </c>
      <c r="P76" s="1">
        <f t="shared" si="41"/>
        <v>9.6</v>
      </c>
      <c r="Q76" s="1">
        <f t="shared" si="41"/>
        <v>0</v>
      </c>
      <c r="R76" s="1">
        <f t="shared" si="41"/>
        <v>10.4</v>
      </c>
      <c r="S76" s="1">
        <f t="shared" si="44"/>
        <v>105.80000000000001</v>
      </c>
      <c r="U76" s="3">
        <f t="shared" si="42"/>
        <v>18</v>
      </c>
      <c r="V76" s="1">
        <f t="shared" si="43"/>
        <v>11.799999999999999</v>
      </c>
      <c r="W76" s="1">
        <f t="shared" si="43"/>
        <v>14.399999999999999</v>
      </c>
      <c r="X76" s="1">
        <f t="shared" si="43"/>
        <v>13.599999999999998</v>
      </c>
      <c r="Y76" s="1">
        <f t="shared" si="43"/>
        <v>11.7</v>
      </c>
      <c r="Z76" s="1">
        <f t="shared" si="43"/>
        <v>14.399999999999999</v>
      </c>
      <c r="AA76" s="1">
        <f t="shared" si="43"/>
        <v>11.799999999999999</v>
      </c>
      <c r="AB76" s="1">
        <f t="shared" si="43"/>
        <v>11.6</v>
      </c>
      <c r="AC76" s="1">
        <f t="shared" si="43"/>
        <v>14.899999999999999</v>
      </c>
      <c r="AD76" s="1">
        <f t="shared" si="43"/>
        <v>11.9</v>
      </c>
      <c r="AE76" s="1">
        <f t="shared" si="43"/>
        <v>13.2</v>
      </c>
      <c r="AF76" s="1">
        <f t="shared" si="43"/>
        <v>0</v>
      </c>
      <c r="AG76" s="1">
        <f t="shared" si="43"/>
        <v>14.1</v>
      </c>
      <c r="AH76" s="1">
        <f t="shared" si="45"/>
        <v>143.39999999999998</v>
      </c>
    </row>
    <row r="77" spans="6:34" x14ac:dyDescent="0.45">
      <c r="F77" s="3">
        <f t="shared" si="40"/>
        <v>40</v>
      </c>
      <c r="G77" s="1">
        <f t="shared" si="41"/>
        <v>10.7</v>
      </c>
      <c r="H77" s="1">
        <f t="shared" si="41"/>
        <v>10.199999999999999</v>
      </c>
      <c r="I77" s="1">
        <f t="shared" si="41"/>
        <v>8.5</v>
      </c>
      <c r="J77" s="1">
        <f t="shared" si="41"/>
        <v>9.4</v>
      </c>
      <c r="K77" s="1">
        <f t="shared" si="41"/>
        <v>10.8</v>
      </c>
      <c r="L77" s="1">
        <f t="shared" si="41"/>
        <v>8.5</v>
      </c>
      <c r="M77" s="1">
        <f t="shared" si="41"/>
        <v>9</v>
      </c>
      <c r="N77" s="1">
        <f t="shared" si="41"/>
        <v>11.8</v>
      </c>
      <c r="O77" s="1">
        <f t="shared" si="41"/>
        <v>12</v>
      </c>
      <c r="P77" s="1">
        <f t="shared" si="41"/>
        <v>10.7</v>
      </c>
      <c r="Q77" s="1">
        <f t="shared" si="41"/>
        <v>10.4</v>
      </c>
      <c r="R77" s="1">
        <f t="shared" si="41"/>
        <v>0</v>
      </c>
      <c r="S77" s="1">
        <f t="shared" si="44"/>
        <v>112</v>
      </c>
      <c r="U77" s="3">
        <f t="shared" si="42"/>
        <v>40</v>
      </c>
      <c r="V77" s="1">
        <f t="shared" si="43"/>
        <v>14.45</v>
      </c>
      <c r="W77" s="1">
        <f t="shared" si="43"/>
        <v>13.799999999999999</v>
      </c>
      <c r="X77" s="1">
        <f t="shared" si="43"/>
        <v>11.75</v>
      </c>
      <c r="Y77" s="1">
        <f t="shared" si="43"/>
        <v>12.8</v>
      </c>
      <c r="Z77" s="1">
        <f t="shared" si="43"/>
        <v>14.299999999999999</v>
      </c>
      <c r="AA77" s="1">
        <f t="shared" si="43"/>
        <v>11.649999999999999</v>
      </c>
      <c r="AB77" s="1">
        <f t="shared" si="43"/>
        <v>12.399999999999999</v>
      </c>
      <c r="AC77" s="1">
        <f t="shared" si="43"/>
        <v>15.7</v>
      </c>
      <c r="AD77" s="1">
        <f t="shared" si="43"/>
        <v>16</v>
      </c>
      <c r="AE77" s="1">
        <f t="shared" si="43"/>
        <v>14.149999999999999</v>
      </c>
      <c r="AF77" s="1">
        <f t="shared" si="43"/>
        <v>14.1</v>
      </c>
      <c r="AG77" s="1">
        <f t="shared" si="43"/>
        <v>0</v>
      </c>
      <c r="AH77" s="1">
        <f t="shared" si="45"/>
        <v>151.1</v>
      </c>
    </row>
    <row r="78" spans="6:34" x14ac:dyDescent="0.45">
      <c r="F78" s="3" t="s">
        <v>329</v>
      </c>
      <c r="G78" s="1">
        <f>SUM(G66:G77)</f>
        <v>106.8</v>
      </c>
      <c r="H78" s="1">
        <f t="shared" ref="H78:R78" si="46">SUM(H66:H77)</f>
        <v>110.80000000000001</v>
      </c>
      <c r="I78" s="1">
        <f t="shared" si="46"/>
        <v>109.4</v>
      </c>
      <c r="J78" s="1">
        <f t="shared" si="46"/>
        <v>102.5</v>
      </c>
      <c r="K78" s="1">
        <f t="shared" si="46"/>
        <v>106.39999999999999</v>
      </c>
      <c r="L78" s="1">
        <f t="shared" si="46"/>
        <v>109.69999999999999</v>
      </c>
      <c r="M78" s="1">
        <f t="shared" si="46"/>
        <v>106.89999999999999</v>
      </c>
      <c r="N78" s="1">
        <f t="shared" si="46"/>
        <v>111.69999999999999</v>
      </c>
      <c r="O78" s="1">
        <f t="shared" si="46"/>
        <v>110.4</v>
      </c>
      <c r="P78" s="1">
        <f t="shared" si="46"/>
        <v>112.2</v>
      </c>
      <c r="Q78" s="1">
        <f t="shared" si="46"/>
        <v>105.80000000000001</v>
      </c>
      <c r="R78" s="1">
        <f t="shared" si="46"/>
        <v>112</v>
      </c>
      <c r="S78" s="1">
        <f t="shared" si="44"/>
        <v>1304.5999999999997</v>
      </c>
      <c r="U78" s="3" t="s">
        <v>329</v>
      </c>
      <c r="V78" s="1">
        <f>SUM(V66:V77)</f>
        <v>144.89999999999998</v>
      </c>
      <c r="W78" s="1">
        <f t="shared" ref="W78:AG78" si="47">SUM(W66:W77)</f>
        <v>149.20000000000002</v>
      </c>
      <c r="X78" s="1">
        <f t="shared" si="47"/>
        <v>147.59999999999997</v>
      </c>
      <c r="Y78" s="1">
        <f t="shared" si="47"/>
        <v>139.44999999999999</v>
      </c>
      <c r="Z78" s="1">
        <f t="shared" si="47"/>
        <v>143.80000000000001</v>
      </c>
      <c r="AA78" s="1">
        <f t="shared" si="47"/>
        <v>148.15</v>
      </c>
      <c r="AB78" s="1">
        <f t="shared" si="47"/>
        <v>144.75000000000003</v>
      </c>
      <c r="AC78" s="1">
        <f t="shared" si="47"/>
        <v>150.54999999999998</v>
      </c>
      <c r="AD78" s="1">
        <f t="shared" si="47"/>
        <v>149.19999999999999</v>
      </c>
      <c r="AE78" s="1">
        <f t="shared" si="47"/>
        <v>151.6</v>
      </c>
      <c r="AF78" s="1">
        <f t="shared" si="47"/>
        <v>143.39999999999998</v>
      </c>
      <c r="AG78" s="1">
        <f t="shared" si="47"/>
        <v>151.1</v>
      </c>
      <c r="AH78" s="1">
        <f t="shared" si="45"/>
        <v>1763.6999999999998</v>
      </c>
    </row>
    <row r="81" spans="6:34" x14ac:dyDescent="0.45">
      <c r="F81" s="4" t="s">
        <v>169</v>
      </c>
      <c r="G81" s="3">
        <f t="shared" ref="G81:R81" si="48">G33</f>
        <v>9</v>
      </c>
      <c r="H81" s="3">
        <f t="shared" si="48"/>
        <v>12</v>
      </c>
      <c r="I81" s="3">
        <f t="shared" si="48"/>
        <v>29</v>
      </c>
      <c r="J81" s="3">
        <f t="shared" si="48"/>
        <v>24</v>
      </c>
      <c r="K81" s="3">
        <f t="shared" si="48"/>
        <v>21</v>
      </c>
      <c r="L81" s="3">
        <f t="shared" si="48"/>
        <v>42</v>
      </c>
      <c r="M81" s="3">
        <f t="shared" si="48"/>
        <v>43</v>
      </c>
      <c r="N81" s="3">
        <f t="shared" si="48"/>
        <v>31</v>
      </c>
      <c r="O81" s="3">
        <f t="shared" si="48"/>
        <v>33</v>
      </c>
      <c r="P81" s="3">
        <f t="shared" si="48"/>
        <v>30</v>
      </c>
      <c r="Q81" s="3">
        <f t="shared" si="48"/>
        <v>18</v>
      </c>
      <c r="R81" s="3">
        <f t="shared" si="48"/>
        <v>40</v>
      </c>
      <c r="S81" s="3" t="s">
        <v>329</v>
      </c>
      <c r="U81" s="4" t="s">
        <v>187</v>
      </c>
      <c r="V81" s="3">
        <f t="shared" ref="V81:AG81" si="49">V33</f>
        <v>9</v>
      </c>
      <c r="W81" s="3">
        <f t="shared" si="49"/>
        <v>12</v>
      </c>
      <c r="X81" s="3">
        <f t="shared" si="49"/>
        <v>29</v>
      </c>
      <c r="Y81" s="3">
        <f t="shared" si="49"/>
        <v>24</v>
      </c>
      <c r="Z81" s="3">
        <f t="shared" si="49"/>
        <v>21</v>
      </c>
      <c r="AA81" s="3">
        <f t="shared" si="49"/>
        <v>42</v>
      </c>
      <c r="AB81" s="3">
        <f t="shared" si="49"/>
        <v>43</v>
      </c>
      <c r="AC81" s="3">
        <f t="shared" si="49"/>
        <v>31</v>
      </c>
      <c r="AD81" s="3">
        <f t="shared" si="49"/>
        <v>33</v>
      </c>
      <c r="AE81" s="3">
        <f t="shared" si="49"/>
        <v>30</v>
      </c>
      <c r="AF81" s="3">
        <f t="shared" si="49"/>
        <v>18</v>
      </c>
      <c r="AG81" s="3">
        <f t="shared" si="49"/>
        <v>40</v>
      </c>
      <c r="AH81" s="3" t="s">
        <v>329</v>
      </c>
    </row>
    <row r="82" spans="6:34" x14ac:dyDescent="0.45">
      <c r="F82" s="3">
        <f t="shared" ref="F82:F93" si="50">F34</f>
        <v>9</v>
      </c>
      <c r="G82" s="7">
        <v>0</v>
      </c>
      <c r="H82" s="7">
        <v>27</v>
      </c>
      <c r="I82" s="7">
        <v>29</v>
      </c>
      <c r="J82" s="7">
        <v>22</v>
      </c>
      <c r="K82" s="7">
        <v>26</v>
      </c>
      <c r="L82" s="7">
        <v>24</v>
      </c>
      <c r="M82" s="7">
        <v>25</v>
      </c>
      <c r="N82" s="7">
        <v>28</v>
      </c>
      <c r="O82" s="7">
        <v>28</v>
      </c>
      <c r="P82" s="7">
        <v>23</v>
      </c>
      <c r="Q82" s="7">
        <v>28</v>
      </c>
      <c r="R82" s="7">
        <v>29</v>
      </c>
      <c r="S82" s="7">
        <f>SUM(G82:R82)</f>
        <v>289</v>
      </c>
      <c r="U82" s="3">
        <f t="shared" ref="U82:U93" si="51">U34</f>
        <v>9</v>
      </c>
      <c r="V82" s="7">
        <v>0</v>
      </c>
      <c r="W82" s="7">
        <v>27</v>
      </c>
      <c r="X82" s="7">
        <v>29</v>
      </c>
      <c r="Y82" s="7">
        <v>22</v>
      </c>
      <c r="Z82" s="7">
        <v>26</v>
      </c>
      <c r="AA82" s="7">
        <v>24</v>
      </c>
      <c r="AB82" s="7">
        <v>25</v>
      </c>
      <c r="AC82" s="7">
        <v>28</v>
      </c>
      <c r="AD82" s="7">
        <v>28</v>
      </c>
      <c r="AE82" s="7">
        <v>23</v>
      </c>
      <c r="AF82" s="7">
        <v>28</v>
      </c>
      <c r="AG82" s="7">
        <v>29</v>
      </c>
      <c r="AH82" s="7">
        <f>SUM(V82:AG82)</f>
        <v>289</v>
      </c>
    </row>
    <row r="83" spans="6:34" x14ac:dyDescent="0.45">
      <c r="F83" s="3">
        <f t="shared" si="50"/>
        <v>12</v>
      </c>
      <c r="G83" s="7">
        <v>27</v>
      </c>
      <c r="H83" s="7">
        <v>0</v>
      </c>
      <c r="I83" s="7">
        <v>20</v>
      </c>
      <c r="J83" s="7">
        <v>21</v>
      </c>
      <c r="K83" s="7">
        <v>23</v>
      </c>
      <c r="L83" s="7">
        <v>26</v>
      </c>
      <c r="M83" s="7">
        <v>22</v>
      </c>
      <c r="N83" s="7">
        <v>24</v>
      </c>
      <c r="O83" s="7">
        <v>21</v>
      </c>
      <c r="P83" s="7">
        <v>25</v>
      </c>
      <c r="Q83" s="7">
        <v>21</v>
      </c>
      <c r="R83" s="7">
        <v>27</v>
      </c>
      <c r="S83" s="7">
        <f t="shared" ref="S83:S94" si="52">SUM(G83:R83)</f>
        <v>257</v>
      </c>
      <c r="U83" s="3">
        <f t="shared" si="51"/>
        <v>12</v>
      </c>
      <c r="V83" s="7">
        <v>27</v>
      </c>
      <c r="W83" s="7">
        <v>0</v>
      </c>
      <c r="X83" s="7">
        <v>20</v>
      </c>
      <c r="Y83" s="7">
        <v>21</v>
      </c>
      <c r="Z83" s="7">
        <v>23</v>
      </c>
      <c r="AA83" s="7">
        <v>26</v>
      </c>
      <c r="AB83" s="7">
        <v>22</v>
      </c>
      <c r="AC83" s="7">
        <v>24</v>
      </c>
      <c r="AD83" s="7">
        <v>21</v>
      </c>
      <c r="AE83" s="7">
        <v>25</v>
      </c>
      <c r="AF83" s="7">
        <v>21</v>
      </c>
      <c r="AG83" s="7">
        <v>27</v>
      </c>
      <c r="AH83" s="7">
        <f t="shared" ref="AH83:AH94" si="53">SUM(V83:AG83)</f>
        <v>257</v>
      </c>
    </row>
    <row r="84" spans="6:34" x14ac:dyDescent="0.45">
      <c r="F84" s="3">
        <f t="shared" si="50"/>
        <v>29</v>
      </c>
      <c r="G84" s="7">
        <v>29</v>
      </c>
      <c r="H84" s="7">
        <v>20</v>
      </c>
      <c r="I84" s="7">
        <v>0</v>
      </c>
      <c r="J84" s="7">
        <v>22</v>
      </c>
      <c r="K84" s="7">
        <v>26</v>
      </c>
      <c r="L84" s="7">
        <v>20</v>
      </c>
      <c r="M84" s="7">
        <v>24</v>
      </c>
      <c r="N84" s="7">
        <v>27</v>
      </c>
      <c r="O84" s="7">
        <v>22</v>
      </c>
      <c r="P84" s="7">
        <v>27</v>
      </c>
      <c r="Q84" s="7">
        <v>21</v>
      </c>
      <c r="R84" s="7">
        <v>28</v>
      </c>
      <c r="S84" s="7">
        <f t="shared" si="52"/>
        <v>266</v>
      </c>
      <c r="U84" s="3">
        <f t="shared" si="51"/>
        <v>29</v>
      </c>
      <c r="V84" s="7">
        <v>29</v>
      </c>
      <c r="W84" s="7">
        <v>20</v>
      </c>
      <c r="X84" s="7">
        <v>0</v>
      </c>
      <c r="Y84" s="7">
        <v>22</v>
      </c>
      <c r="Z84" s="7">
        <v>26</v>
      </c>
      <c r="AA84" s="7">
        <v>20</v>
      </c>
      <c r="AB84" s="7">
        <v>24</v>
      </c>
      <c r="AC84" s="7">
        <v>27</v>
      </c>
      <c r="AD84" s="7">
        <v>22</v>
      </c>
      <c r="AE84" s="7">
        <v>27</v>
      </c>
      <c r="AF84" s="7">
        <v>21</v>
      </c>
      <c r="AG84" s="7">
        <v>28</v>
      </c>
      <c r="AH84" s="7">
        <f t="shared" si="53"/>
        <v>266</v>
      </c>
    </row>
    <row r="85" spans="6:34" x14ac:dyDescent="0.45">
      <c r="F85" s="3">
        <f t="shared" si="50"/>
        <v>24</v>
      </c>
      <c r="G85" s="7">
        <v>22</v>
      </c>
      <c r="H85" s="7">
        <v>21</v>
      </c>
      <c r="I85" s="7">
        <v>22</v>
      </c>
      <c r="J85" s="7">
        <v>0</v>
      </c>
      <c r="K85" s="7">
        <v>23</v>
      </c>
      <c r="L85" s="7">
        <v>24</v>
      </c>
      <c r="M85" s="7">
        <v>25</v>
      </c>
      <c r="N85" s="7">
        <v>23</v>
      </c>
      <c r="O85" s="7">
        <v>24</v>
      </c>
      <c r="P85" s="7">
        <v>20</v>
      </c>
      <c r="Q85" s="7">
        <v>29</v>
      </c>
      <c r="R85" s="7">
        <v>28</v>
      </c>
      <c r="S85" s="7">
        <f t="shared" si="52"/>
        <v>261</v>
      </c>
      <c r="U85" s="3">
        <f t="shared" si="51"/>
        <v>24</v>
      </c>
      <c r="V85" s="7">
        <v>22</v>
      </c>
      <c r="W85" s="7">
        <v>21</v>
      </c>
      <c r="X85" s="7">
        <v>22</v>
      </c>
      <c r="Y85" s="7">
        <v>0</v>
      </c>
      <c r="Z85" s="7">
        <v>23</v>
      </c>
      <c r="AA85" s="7">
        <v>24</v>
      </c>
      <c r="AB85" s="7">
        <v>25</v>
      </c>
      <c r="AC85" s="7">
        <v>23</v>
      </c>
      <c r="AD85" s="7">
        <v>24</v>
      </c>
      <c r="AE85" s="7">
        <v>20</v>
      </c>
      <c r="AF85" s="7">
        <v>29</v>
      </c>
      <c r="AG85" s="7">
        <v>28</v>
      </c>
      <c r="AH85" s="7">
        <f t="shared" si="53"/>
        <v>261</v>
      </c>
    </row>
    <row r="86" spans="6:34" x14ac:dyDescent="0.45">
      <c r="F86" s="3">
        <f t="shared" si="50"/>
        <v>21</v>
      </c>
      <c r="G86" s="7">
        <v>26</v>
      </c>
      <c r="H86" s="7">
        <v>23</v>
      </c>
      <c r="I86" s="7">
        <v>26</v>
      </c>
      <c r="J86" s="7">
        <v>23</v>
      </c>
      <c r="K86" s="7">
        <v>0</v>
      </c>
      <c r="L86" s="7">
        <v>23</v>
      </c>
      <c r="M86" s="7">
        <v>27</v>
      </c>
      <c r="N86" s="7">
        <v>27</v>
      </c>
      <c r="O86" s="7">
        <v>27</v>
      </c>
      <c r="P86" s="7">
        <v>20</v>
      </c>
      <c r="Q86" s="7">
        <v>24</v>
      </c>
      <c r="R86" s="7">
        <v>26</v>
      </c>
      <c r="S86" s="7">
        <f t="shared" si="52"/>
        <v>272</v>
      </c>
      <c r="U86" s="3">
        <f t="shared" si="51"/>
        <v>21</v>
      </c>
      <c r="V86" s="7">
        <v>26</v>
      </c>
      <c r="W86" s="7">
        <v>23</v>
      </c>
      <c r="X86" s="7">
        <v>26</v>
      </c>
      <c r="Y86" s="7">
        <v>23</v>
      </c>
      <c r="Z86" s="7">
        <v>0</v>
      </c>
      <c r="AA86" s="7">
        <v>23</v>
      </c>
      <c r="AB86" s="7">
        <v>27</v>
      </c>
      <c r="AC86" s="7">
        <v>27</v>
      </c>
      <c r="AD86" s="7">
        <v>27</v>
      </c>
      <c r="AE86" s="7">
        <v>20</v>
      </c>
      <c r="AF86" s="7">
        <v>24</v>
      </c>
      <c r="AG86" s="7">
        <v>26</v>
      </c>
      <c r="AH86" s="7">
        <f t="shared" si="53"/>
        <v>272</v>
      </c>
    </row>
    <row r="87" spans="6:34" x14ac:dyDescent="0.45">
      <c r="F87" s="3">
        <f t="shared" si="50"/>
        <v>42</v>
      </c>
      <c r="G87" s="7">
        <v>24</v>
      </c>
      <c r="H87" s="7">
        <v>26</v>
      </c>
      <c r="I87" s="7">
        <v>20</v>
      </c>
      <c r="J87" s="7">
        <v>24</v>
      </c>
      <c r="K87" s="7">
        <v>23</v>
      </c>
      <c r="L87" s="7">
        <v>0</v>
      </c>
      <c r="M87" s="7">
        <v>28</v>
      </c>
      <c r="N87" s="7">
        <v>30</v>
      </c>
      <c r="O87" s="7">
        <v>30</v>
      </c>
      <c r="P87" s="7">
        <v>24</v>
      </c>
      <c r="Q87" s="7">
        <v>22</v>
      </c>
      <c r="R87" s="7">
        <v>23</v>
      </c>
      <c r="S87" s="7">
        <f t="shared" si="52"/>
        <v>274</v>
      </c>
      <c r="U87" s="3">
        <f t="shared" si="51"/>
        <v>42</v>
      </c>
      <c r="V87" s="7">
        <v>24</v>
      </c>
      <c r="W87" s="7">
        <v>26</v>
      </c>
      <c r="X87" s="7">
        <v>20</v>
      </c>
      <c r="Y87" s="7">
        <v>24</v>
      </c>
      <c r="Z87" s="7">
        <v>23</v>
      </c>
      <c r="AA87" s="7">
        <v>0</v>
      </c>
      <c r="AB87" s="7">
        <v>28</v>
      </c>
      <c r="AC87" s="7">
        <v>30</v>
      </c>
      <c r="AD87" s="7">
        <v>30</v>
      </c>
      <c r="AE87" s="7">
        <v>24</v>
      </c>
      <c r="AF87" s="7">
        <v>22</v>
      </c>
      <c r="AG87" s="7">
        <v>23</v>
      </c>
      <c r="AH87" s="7">
        <f t="shared" si="53"/>
        <v>274</v>
      </c>
    </row>
    <row r="88" spans="6:34" x14ac:dyDescent="0.45">
      <c r="F88" s="3">
        <f t="shared" si="50"/>
        <v>43</v>
      </c>
      <c r="G88" s="7">
        <v>25</v>
      </c>
      <c r="H88" s="7">
        <v>22</v>
      </c>
      <c r="I88" s="7">
        <v>24</v>
      </c>
      <c r="J88" s="7">
        <v>25</v>
      </c>
      <c r="K88" s="7">
        <v>27</v>
      </c>
      <c r="L88" s="7">
        <v>28</v>
      </c>
      <c r="M88" s="7">
        <v>0</v>
      </c>
      <c r="N88" s="7">
        <v>28</v>
      </c>
      <c r="O88" s="7">
        <v>26</v>
      </c>
      <c r="P88" s="7">
        <v>22</v>
      </c>
      <c r="Q88" s="7">
        <v>20</v>
      </c>
      <c r="R88" s="7">
        <v>23</v>
      </c>
      <c r="S88" s="7">
        <f t="shared" si="52"/>
        <v>270</v>
      </c>
      <c r="U88" s="3">
        <f t="shared" si="51"/>
        <v>43</v>
      </c>
      <c r="V88" s="7">
        <v>25</v>
      </c>
      <c r="W88" s="7">
        <v>22</v>
      </c>
      <c r="X88" s="7">
        <v>24</v>
      </c>
      <c r="Y88" s="7">
        <v>25</v>
      </c>
      <c r="Z88" s="7">
        <v>27</v>
      </c>
      <c r="AA88" s="7">
        <v>28</v>
      </c>
      <c r="AB88" s="7">
        <v>0</v>
      </c>
      <c r="AC88" s="7">
        <v>28</v>
      </c>
      <c r="AD88" s="7">
        <v>26</v>
      </c>
      <c r="AE88" s="7">
        <v>22</v>
      </c>
      <c r="AF88" s="7">
        <v>20</v>
      </c>
      <c r="AG88" s="7">
        <v>23</v>
      </c>
      <c r="AH88" s="7">
        <f t="shared" si="53"/>
        <v>270</v>
      </c>
    </row>
    <row r="89" spans="6:34" x14ac:dyDescent="0.45">
      <c r="F89" s="3">
        <f t="shared" si="50"/>
        <v>31</v>
      </c>
      <c r="G89" s="7">
        <v>28</v>
      </c>
      <c r="H89" s="7">
        <v>24</v>
      </c>
      <c r="I89" s="7">
        <v>27</v>
      </c>
      <c r="J89" s="7">
        <v>23</v>
      </c>
      <c r="K89" s="7">
        <v>27</v>
      </c>
      <c r="L89" s="7">
        <v>30</v>
      </c>
      <c r="M89" s="7">
        <v>28</v>
      </c>
      <c r="N89" s="7">
        <v>0</v>
      </c>
      <c r="O89" s="7">
        <v>21</v>
      </c>
      <c r="P89" s="7">
        <v>27</v>
      </c>
      <c r="Q89" s="7">
        <v>28</v>
      </c>
      <c r="R89" s="7">
        <v>22</v>
      </c>
      <c r="S89" s="7">
        <f t="shared" si="52"/>
        <v>285</v>
      </c>
      <c r="U89" s="3">
        <f t="shared" si="51"/>
        <v>31</v>
      </c>
      <c r="V89" s="7">
        <v>28</v>
      </c>
      <c r="W89" s="7">
        <v>24</v>
      </c>
      <c r="X89" s="7">
        <v>27</v>
      </c>
      <c r="Y89" s="7">
        <v>23</v>
      </c>
      <c r="Z89" s="7">
        <v>27</v>
      </c>
      <c r="AA89" s="7">
        <v>30</v>
      </c>
      <c r="AB89" s="7">
        <v>28</v>
      </c>
      <c r="AC89" s="7">
        <v>0</v>
      </c>
      <c r="AD89" s="7">
        <v>21</v>
      </c>
      <c r="AE89" s="7">
        <v>27</v>
      </c>
      <c r="AF89" s="7">
        <v>28</v>
      </c>
      <c r="AG89" s="7">
        <v>22</v>
      </c>
      <c r="AH89" s="7">
        <f t="shared" si="53"/>
        <v>285</v>
      </c>
    </row>
    <row r="90" spans="6:34" x14ac:dyDescent="0.45">
      <c r="F90" s="3">
        <f t="shared" si="50"/>
        <v>33</v>
      </c>
      <c r="G90" s="7">
        <v>28</v>
      </c>
      <c r="H90" s="7">
        <v>21</v>
      </c>
      <c r="I90" s="7">
        <v>22</v>
      </c>
      <c r="J90" s="7">
        <v>24</v>
      </c>
      <c r="K90" s="7">
        <v>27</v>
      </c>
      <c r="L90" s="7">
        <v>30</v>
      </c>
      <c r="M90" s="7">
        <v>26</v>
      </c>
      <c r="N90" s="7">
        <v>21</v>
      </c>
      <c r="O90" s="7">
        <v>0</v>
      </c>
      <c r="P90" s="7">
        <v>22</v>
      </c>
      <c r="Q90" s="7">
        <v>25</v>
      </c>
      <c r="R90" s="7">
        <v>30</v>
      </c>
      <c r="S90" s="7">
        <f t="shared" si="52"/>
        <v>276</v>
      </c>
      <c r="U90" s="3">
        <f t="shared" si="51"/>
        <v>33</v>
      </c>
      <c r="V90" s="7">
        <v>28</v>
      </c>
      <c r="W90" s="7">
        <v>21</v>
      </c>
      <c r="X90" s="7">
        <v>22</v>
      </c>
      <c r="Y90" s="7">
        <v>24</v>
      </c>
      <c r="Z90" s="7">
        <v>27</v>
      </c>
      <c r="AA90" s="7">
        <v>30</v>
      </c>
      <c r="AB90" s="7">
        <v>26</v>
      </c>
      <c r="AC90" s="7">
        <v>21</v>
      </c>
      <c r="AD90" s="7">
        <v>0</v>
      </c>
      <c r="AE90" s="7">
        <v>22</v>
      </c>
      <c r="AF90" s="7">
        <v>25</v>
      </c>
      <c r="AG90" s="7">
        <v>30</v>
      </c>
      <c r="AH90" s="7">
        <f t="shared" si="53"/>
        <v>276</v>
      </c>
    </row>
    <row r="91" spans="6:34" x14ac:dyDescent="0.45">
      <c r="F91" s="3">
        <f t="shared" si="50"/>
        <v>30</v>
      </c>
      <c r="G91" s="7">
        <v>23</v>
      </c>
      <c r="H91" s="7">
        <v>25</v>
      </c>
      <c r="I91" s="7">
        <v>27</v>
      </c>
      <c r="J91" s="7">
        <v>20</v>
      </c>
      <c r="K91" s="7">
        <v>20</v>
      </c>
      <c r="L91" s="7">
        <v>24</v>
      </c>
      <c r="M91" s="7">
        <v>22</v>
      </c>
      <c r="N91" s="7">
        <v>27</v>
      </c>
      <c r="O91" s="7">
        <v>22</v>
      </c>
      <c r="P91" s="7">
        <v>0</v>
      </c>
      <c r="Q91" s="7">
        <v>28</v>
      </c>
      <c r="R91" s="7">
        <v>25</v>
      </c>
      <c r="S91" s="7">
        <f t="shared" si="52"/>
        <v>263</v>
      </c>
      <c r="U91" s="3">
        <f t="shared" si="51"/>
        <v>30</v>
      </c>
      <c r="V91" s="7">
        <v>23</v>
      </c>
      <c r="W91" s="7">
        <v>25</v>
      </c>
      <c r="X91" s="7">
        <v>27</v>
      </c>
      <c r="Y91" s="7">
        <v>20</v>
      </c>
      <c r="Z91" s="7">
        <v>20</v>
      </c>
      <c r="AA91" s="7">
        <v>24</v>
      </c>
      <c r="AB91" s="7">
        <v>22</v>
      </c>
      <c r="AC91" s="7">
        <v>27</v>
      </c>
      <c r="AD91" s="7">
        <v>22</v>
      </c>
      <c r="AE91" s="7">
        <v>0</v>
      </c>
      <c r="AF91" s="7">
        <v>28</v>
      </c>
      <c r="AG91" s="7">
        <v>25</v>
      </c>
      <c r="AH91" s="7">
        <f t="shared" si="53"/>
        <v>263</v>
      </c>
    </row>
    <row r="92" spans="6:34" x14ac:dyDescent="0.45">
      <c r="F92" s="3">
        <f t="shared" si="50"/>
        <v>18</v>
      </c>
      <c r="G92" s="7">
        <v>28</v>
      </c>
      <c r="H92" s="7">
        <v>21</v>
      </c>
      <c r="I92" s="7">
        <v>21</v>
      </c>
      <c r="J92" s="7">
        <v>29</v>
      </c>
      <c r="K92" s="7">
        <v>24</v>
      </c>
      <c r="L92" s="7">
        <v>22</v>
      </c>
      <c r="M92" s="7">
        <v>20</v>
      </c>
      <c r="N92" s="7">
        <v>28</v>
      </c>
      <c r="O92" s="7">
        <v>25</v>
      </c>
      <c r="P92" s="7">
        <v>28</v>
      </c>
      <c r="Q92" s="7">
        <v>0</v>
      </c>
      <c r="R92" s="7">
        <v>24</v>
      </c>
      <c r="S92" s="7">
        <f t="shared" si="52"/>
        <v>270</v>
      </c>
      <c r="U92" s="3">
        <f t="shared" si="51"/>
        <v>18</v>
      </c>
      <c r="V92" s="7">
        <v>28</v>
      </c>
      <c r="W92" s="7">
        <v>21</v>
      </c>
      <c r="X92" s="7">
        <v>21</v>
      </c>
      <c r="Y92" s="7">
        <v>29</v>
      </c>
      <c r="Z92" s="7">
        <v>24</v>
      </c>
      <c r="AA92" s="7">
        <v>22</v>
      </c>
      <c r="AB92" s="7">
        <v>20</v>
      </c>
      <c r="AC92" s="7">
        <v>28</v>
      </c>
      <c r="AD92" s="7">
        <v>25</v>
      </c>
      <c r="AE92" s="7">
        <v>28</v>
      </c>
      <c r="AF92" s="7">
        <v>0</v>
      </c>
      <c r="AG92" s="7">
        <v>24</v>
      </c>
      <c r="AH92" s="7">
        <f t="shared" si="53"/>
        <v>270</v>
      </c>
    </row>
    <row r="93" spans="6:34" x14ac:dyDescent="0.45">
      <c r="F93" s="3">
        <f t="shared" si="50"/>
        <v>40</v>
      </c>
      <c r="G93" s="7">
        <v>29</v>
      </c>
      <c r="H93" s="7">
        <v>27</v>
      </c>
      <c r="I93" s="7">
        <v>28</v>
      </c>
      <c r="J93" s="7">
        <v>28</v>
      </c>
      <c r="K93" s="7">
        <v>26</v>
      </c>
      <c r="L93" s="7">
        <v>23</v>
      </c>
      <c r="M93" s="7">
        <v>23</v>
      </c>
      <c r="N93" s="7">
        <v>22</v>
      </c>
      <c r="O93" s="7">
        <v>30</v>
      </c>
      <c r="P93" s="7">
        <v>25</v>
      </c>
      <c r="Q93" s="7">
        <v>24</v>
      </c>
      <c r="R93" s="7">
        <v>0</v>
      </c>
      <c r="S93" s="7">
        <f t="shared" si="52"/>
        <v>285</v>
      </c>
      <c r="U93" s="3">
        <f t="shared" si="51"/>
        <v>40</v>
      </c>
      <c r="V93" s="7">
        <v>29</v>
      </c>
      <c r="W93" s="7">
        <v>27</v>
      </c>
      <c r="X93" s="7">
        <v>28</v>
      </c>
      <c r="Y93" s="7">
        <v>28</v>
      </c>
      <c r="Z93" s="7">
        <v>26</v>
      </c>
      <c r="AA93" s="7">
        <v>23</v>
      </c>
      <c r="AB93" s="7">
        <v>23</v>
      </c>
      <c r="AC93" s="7">
        <v>22</v>
      </c>
      <c r="AD93" s="7">
        <v>30</v>
      </c>
      <c r="AE93" s="7">
        <v>25</v>
      </c>
      <c r="AF93" s="7">
        <v>24</v>
      </c>
      <c r="AG93" s="7">
        <v>0</v>
      </c>
      <c r="AH93" s="7">
        <f t="shared" si="53"/>
        <v>285</v>
      </c>
    </row>
    <row r="94" spans="6:34" x14ac:dyDescent="0.45">
      <c r="F94" s="3" t="s">
        <v>329</v>
      </c>
      <c r="G94" s="7">
        <f>SUM(G82:G93)</f>
        <v>289</v>
      </c>
      <c r="H94" s="7">
        <f t="shared" ref="H94:R94" si="54">SUM(H82:H93)</f>
        <v>257</v>
      </c>
      <c r="I94" s="7">
        <f t="shared" si="54"/>
        <v>266</v>
      </c>
      <c r="J94" s="7">
        <f t="shared" si="54"/>
        <v>261</v>
      </c>
      <c r="K94" s="7">
        <f t="shared" si="54"/>
        <v>272</v>
      </c>
      <c r="L94" s="7">
        <f t="shared" si="54"/>
        <v>274</v>
      </c>
      <c r="M94" s="7">
        <f t="shared" si="54"/>
        <v>270</v>
      </c>
      <c r="N94" s="7">
        <f t="shared" si="54"/>
        <v>285</v>
      </c>
      <c r="O94" s="7">
        <f t="shared" si="54"/>
        <v>276</v>
      </c>
      <c r="P94" s="7">
        <f t="shared" si="54"/>
        <v>263</v>
      </c>
      <c r="Q94" s="7">
        <f t="shared" si="54"/>
        <v>270</v>
      </c>
      <c r="R94" s="7">
        <f t="shared" si="54"/>
        <v>285</v>
      </c>
      <c r="S94" s="7">
        <f t="shared" si="52"/>
        <v>3268</v>
      </c>
      <c r="U94" s="3" t="s">
        <v>329</v>
      </c>
      <c r="V94" s="7">
        <f>SUM(V82:V93)</f>
        <v>289</v>
      </c>
      <c r="W94" s="7">
        <f t="shared" ref="W94:AG94" si="55">SUM(W82:W93)</f>
        <v>257</v>
      </c>
      <c r="X94" s="7">
        <f t="shared" si="55"/>
        <v>266</v>
      </c>
      <c r="Y94" s="7">
        <f t="shared" si="55"/>
        <v>261</v>
      </c>
      <c r="Z94" s="7">
        <f t="shared" si="55"/>
        <v>272</v>
      </c>
      <c r="AA94" s="7">
        <f t="shared" si="55"/>
        <v>274</v>
      </c>
      <c r="AB94" s="7">
        <f t="shared" si="55"/>
        <v>270</v>
      </c>
      <c r="AC94" s="7">
        <f t="shared" si="55"/>
        <v>285</v>
      </c>
      <c r="AD94" s="7">
        <f t="shared" si="55"/>
        <v>276</v>
      </c>
      <c r="AE94" s="7">
        <f t="shared" si="55"/>
        <v>263</v>
      </c>
      <c r="AF94" s="7">
        <f t="shared" si="55"/>
        <v>270</v>
      </c>
      <c r="AG94" s="7">
        <f t="shared" si="55"/>
        <v>285</v>
      </c>
      <c r="AH94" s="7">
        <f t="shared" si="53"/>
        <v>3268</v>
      </c>
    </row>
    <row r="97" spans="6:34" x14ac:dyDescent="0.45">
      <c r="F97" s="4" t="s">
        <v>171</v>
      </c>
      <c r="G97" s="3">
        <f t="shared" ref="G97:R97" si="56">G33</f>
        <v>9</v>
      </c>
      <c r="H97" s="3">
        <f t="shared" si="56"/>
        <v>12</v>
      </c>
      <c r="I97" s="3">
        <f t="shared" si="56"/>
        <v>29</v>
      </c>
      <c r="J97" s="3">
        <f t="shared" si="56"/>
        <v>24</v>
      </c>
      <c r="K97" s="3">
        <f t="shared" si="56"/>
        <v>21</v>
      </c>
      <c r="L97" s="3">
        <f t="shared" si="56"/>
        <v>42</v>
      </c>
      <c r="M97" s="3">
        <f t="shared" si="56"/>
        <v>43</v>
      </c>
      <c r="N97" s="3">
        <f t="shared" si="56"/>
        <v>31</v>
      </c>
      <c r="O97" s="3">
        <f t="shared" si="56"/>
        <v>33</v>
      </c>
      <c r="P97" s="3">
        <f t="shared" si="56"/>
        <v>30</v>
      </c>
      <c r="Q97" s="3">
        <f t="shared" si="56"/>
        <v>18</v>
      </c>
      <c r="R97" s="3">
        <f t="shared" si="56"/>
        <v>40</v>
      </c>
      <c r="S97" s="3" t="s">
        <v>329</v>
      </c>
      <c r="U97" s="4" t="s">
        <v>189</v>
      </c>
      <c r="V97" s="3">
        <f t="shared" ref="V97:AG97" si="57">V33</f>
        <v>9</v>
      </c>
      <c r="W97" s="3">
        <f t="shared" si="57"/>
        <v>12</v>
      </c>
      <c r="X97" s="3">
        <f t="shared" si="57"/>
        <v>29</v>
      </c>
      <c r="Y97" s="3">
        <f t="shared" si="57"/>
        <v>24</v>
      </c>
      <c r="Z97" s="3">
        <f t="shared" si="57"/>
        <v>21</v>
      </c>
      <c r="AA97" s="3">
        <f t="shared" si="57"/>
        <v>42</v>
      </c>
      <c r="AB97" s="3">
        <f t="shared" si="57"/>
        <v>43</v>
      </c>
      <c r="AC97" s="3">
        <f t="shared" si="57"/>
        <v>31</v>
      </c>
      <c r="AD97" s="3">
        <f t="shared" si="57"/>
        <v>33</v>
      </c>
      <c r="AE97" s="3">
        <f t="shared" si="57"/>
        <v>30</v>
      </c>
      <c r="AF97" s="3">
        <f t="shared" si="57"/>
        <v>18</v>
      </c>
      <c r="AG97" s="3">
        <f t="shared" si="57"/>
        <v>40</v>
      </c>
      <c r="AH97" s="3" t="s">
        <v>329</v>
      </c>
    </row>
    <row r="98" spans="6:34" x14ac:dyDescent="0.45">
      <c r="F98" s="3">
        <f t="shared" ref="F98:F109" si="58">F34</f>
        <v>9</v>
      </c>
      <c r="G98" s="1">
        <v>0</v>
      </c>
      <c r="H98" s="1">
        <v>15</v>
      </c>
      <c r="I98" s="1">
        <v>15</v>
      </c>
      <c r="J98" s="1">
        <v>14</v>
      </c>
      <c r="K98" s="1">
        <v>11</v>
      </c>
      <c r="L98" s="1">
        <v>14</v>
      </c>
      <c r="M98" s="1">
        <v>11</v>
      </c>
      <c r="N98" s="1">
        <v>14</v>
      </c>
      <c r="O98" s="1">
        <v>13</v>
      </c>
      <c r="P98" s="1">
        <v>19</v>
      </c>
      <c r="Q98" s="1">
        <v>11</v>
      </c>
      <c r="R98" s="1">
        <v>16</v>
      </c>
      <c r="S98" s="1">
        <f>SUM(G98:R98)</f>
        <v>153</v>
      </c>
      <c r="U98" s="3">
        <f t="shared" ref="U98:U109" si="59">U34</f>
        <v>9</v>
      </c>
      <c r="V98" s="1">
        <v>0</v>
      </c>
      <c r="W98" s="1">
        <v>15</v>
      </c>
      <c r="X98" s="1">
        <v>15</v>
      </c>
      <c r="Y98" s="1">
        <v>14</v>
      </c>
      <c r="Z98" s="1">
        <v>11</v>
      </c>
      <c r="AA98" s="1">
        <v>14</v>
      </c>
      <c r="AB98" s="1">
        <v>11</v>
      </c>
      <c r="AC98" s="1">
        <v>14</v>
      </c>
      <c r="AD98" s="1">
        <v>13</v>
      </c>
      <c r="AE98" s="1">
        <v>19</v>
      </c>
      <c r="AF98" s="1">
        <v>11</v>
      </c>
      <c r="AG98" s="1">
        <v>16</v>
      </c>
      <c r="AH98" s="1">
        <f>SUM(V98:AG98)</f>
        <v>153</v>
      </c>
    </row>
    <row r="99" spans="6:34" x14ac:dyDescent="0.45">
      <c r="F99" s="3">
        <f t="shared" si="58"/>
        <v>12</v>
      </c>
      <c r="G99" s="1">
        <v>15</v>
      </c>
      <c r="H99" s="1">
        <v>0</v>
      </c>
      <c r="I99" s="1">
        <v>20</v>
      </c>
      <c r="J99" s="1">
        <v>14</v>
      </c>
      <c r="K99" s="1">
        <v>12</v>
      </c>
      <c r="L99" s="1">
        <v>14</v>
      </c>
      <c r="M99" s="1">
        <v>15</v>
      </c>
      <c r="N99" s="1">
        <v>15</v>
      </c>
      <c r="O99" s="1">
        <v>15</v>
      </c>
      <c r="P99" s="1">
        <v>17</v>
      </c>
      <c r="Q99" s="1">
        <v>18</v>
      </c>
      <c r="R99" s="1">
        <v>15</v>
      </c>
      <c r="S99" s="1">
        <f t="shared" ref="S99:S110" si="60">SUM(G99:R99)</f>
        <v>170</v>
      </c>
      <c r="U99" s="3">
        <f t="shared" si="59"/>
        <v>12</v>
      </c>
      <c r="V99" s="1">
        <v>15</v>
      </c>
      <c r="W99" s="1">
        <v>0</v>
      </c>
      <c r="X99" s="1">
        <v>20</v>
      </c>
      <c r="Y99" s="1">
        <v>14</v>
      </c>
      <c r="Z99" s="1">
        <v>12</v>
      </c>
      <c r="AA99" s="1">
        <v>14</v>
      </c>
      <c r="AB99" s="1">
        <v>15</v>
      </c>
      <c r="AC99" s="1">
        <v>15</v>
      </c>
      <c r="AD99" s="1">
        <v>15</v>
      </c>
      <c r="AE99" s="1">
        <v>17</v>
      </c>
      <c r="AF99" s="1">
        <v>18</v>
      </c>
      <c r="AG99" s="1">
        <v>15</v>
      </c>
      <c r="AH99" s="1">
        <f t="shared" ref="AH99:AH110" si="61">SUM(V99:AG99)</f>
        <v>170</v>
      </c>
    </row>
    <row r="100" spans="6:34" x14ac:dyDescent="0.45">
      <c r="F100" s="3">
        <f t="shared" si="58"/>
        <v>29</v>
      </c>
      <c r="G100" s="1">
        <v>15</v>
      </c>
      <c r="H100" s="1">
        <v>20</v>
      </c>
      <c r="I100" s="1">
        <v>0</v>
      </c>
      <c r="J100" s="1">
        <v>17</v>
      </c>
      <c r="K100" s="1">
        <v>10</v>
      </c>
      <c r="L100" s="1">
        <v>19</v>
      </c>
      <c r="M100" s="1">
        <v>17</v>
      </c>
      <c r="N100" s="1">
        <v>13</v>
      </c>
      <c r="O100" s="1">
        <v>13</v>
      </c>
      <c r="P100" s="1">
        <v>14</v>
      </c>
      <c r="Q100" s="1">
        <v>17</v>
      </c>
      <c r="R100" s="1">
        <v>10</v>
      </c>
      <c r="S100" s="1">
        <f t="shared" si="60"/>
        <v>165</v>
      </c>
      <c r="U100" s="3">
        <f t="shared" si="59"/>
        <v>29</v>
      </c>
      <c r="V100" s="1">
        <v>15</v>
      </c>
      <c r="W100" s="1">
        <v>20</v>
      </c>
      <c r="X100" s="1">
        <v>0</v>
      </c>
      <c r="Y100" s="1">
        <v>17</v>
      </c>
      <c r="Z100" s="1">
        <v>10</v>
      </c>
      <c r="AA100" s="1">
        <v>19</v>
      </c>
      <c r="AB100" s="1">
        <v>17</v>
      </c>
      <c r="AC100" s="1">
        <v>13</v>
      </c>
      <c r="AD100" s="1">
        <v>13</v>
      </c>
      <c r="AE100" s="1">
        <v>14</v>
      </c>
      <c r="AF100" s="1">
        <v>17</v>
      </c>
      <c r="AG100" s="1">
        <v>10</v>
      </c>
      <c r="AH100" s="1">
        <f t="shared" si="61"/>
        <v>165</v>
      </c>
    </row>
    <row r="101" spans="6:34" x14ac:dyDescent="0.45">
      <c r="F101" s="3">
        <f t="shared" si="58"/>
        <v>24</v>
      </c>
      <c r="G101" s="1">
        <v>14</v>
      </c>
      <c r="H101" s="1">
        <v>14</v>
      </c>
      <c r="I101" s="1">
        <v>17</v>
      </c>
      <c r="J101" s="1">
        <v>0</v>
      </c>
      <c r="K101" s="1">
        <v>12</v>
      </c>
      <c r="L101" s="1">
        <v>15</v>
      </c>
      <c r="M101" s="1">
        <v>10</v>
      </c>
      <c r="N101" s="1">
        <v>13</v>
      </c>
      <c r="O101" s="1">
        <v>12</v>
      </c>
      <c r="P101" s="1">
        <v>11</v>
      </c>
      <c r="Q101" s="1">
        <v>12</v>
      </c>
      <c r="R101" s="1">
        <v>13</v>
      </c>
      <c r="S101" s="1">
        <f t="shared" si="60"/>
        <v>143</v>
      </c>
      <c r="U101" s="3">
        <f t="shared" si="59"/>
        <v>24</v>
      </c>
      <c r="V101" s="1">
        <v>14</v>
      </c>
      <c r="W101" s="1">
        <v>14</v>
      </c>
      <c r="X101" s="1">
        <v>17</v>
      </c>
      <c r="Y101" s="1">
        <v>0</v>
      </c>
      <c r="Z101" s="1">
        <v>12</v>
      </c>
      <c r="AA101" s="1">
        <v>15</v>
      </c>
      <c r="AB101" s="1">
        <v>10</v>
      </c>
      <c r="AC101" s="1">
        <v>13</v>
      </c>
      <c r="AD101" s="1">
        <v>12</v>
      </c>
      <c r="AE101" s="1">
        <v>11</v>
      </c>
      <c r="AF101" s="1">
        <v>12</v>
      </c>
      <c r="AG101" s="1">
        <v>13</v>
      </c>
      <c r="AH101" s="1">
        <f t="shared" si="61"/>
        <v>143</v>
      </c>
    </row>
    <row r="102" spans="6:34" x14ac:dyDescent="0.45">
      <c r="F102" s="3">
        <f t="shared" si="58"/>
        <v>21</v>
      </c>
      <c r="G102" s="1">
        <v>11</v>
      </c>
      <c r="H102" s="1">
        <v>12</v>
      </c>
      <c r="I102" s="1">
        <v>10</v>
      </c>
      <c r="J102" s="1">
        <v>12</v>
      </c>
      <c r="K102" s="1">
        <v>0</v>
      </c>
      <c r="L102" s="1">
        <v>19</v>
      </c>
      <c r="M102" s="1">
        <v>14</v>
      </c>
      <c r="N102" s="1">
        <v>11</v>
      </c>
      <c r="O102" s="1">
        <v>17</v>
      </c>
      <c r="P102" s="1">
        <v>15</v>
      </c>
      <c r="Q102" s="1">
        <v>18</v>
      </c>
      <c r="R102" s="1">
        <v>19</v>
      </c>
      <c r="S102" s="1">
        <f t="shared" si="60"/>
        <v>158</v>
      </c>
      <c r="U102" s="3">
        <f t="shared" si="59"/>
        <v>21</v>
      </c>
      <c r="V102" s="1">
        <v>11</v>
      </c>
      <c r="W102" s="1">
        <v>12</v>
      </c>
      <c r="X102" s="1">
        <v>10</v>
      </c>
      <c r="Y102" s="1">
        <v>12</v>
      </c>
      <c r="Z102" s="1">
        <v>0</v>
      </c>
      <c r="AA102" s="1">
        <v>19</v>
      </c>
      <c r="AB102" s="1">
        <v>14</v>
      </c>
      <c r="AC102" s="1">
        <v>11</v>
      </c>
      <c r="AD102" s="1">
        <v>17</v>
      </c>
      <c r="AE102" s="1">
        <v>15</v>
      </c>
      <c r="AF102" s="1">
        <v>18</v>
      </c>
      <c r="AG102" s="1">
        <v>19</v>
      </c>
      <c r="AH102" s="1">
        <f t="shared" si="61"/>
        <v>158</v>
      </c>
    </row>
    <row r="103" spans="6:34" x14ac:dyDescent="0.45">
      <c r="F103" s="3">
        <f t="shared" si="58"/>
        <v>42</v>
      </c>
      <c r="G103" s="1">
        <v>14</v>
      </c>
      <c r="H103" s="1">
        <v>14</v>
      </c>
      <c r="I103" s="1">
        <v>19</v>
      </c>
      <c r="J103" s="1">
        <v>15</v>
      </c>
      <c r="K103" s="1">
        <v>19</v>
      </c>
      <c r="L103" s="1">
        <v>0</v>
      </c>
      <c r="M103" s="1">
        <v>17</v>
      </c>
      <c r="N103" s="1">
        <v>16</v>
      </c>
      <c r="O103" s="1">
        <v>16</v>
      </c>
      <c r="P103" s="1">
        <v>12</v>
      </c>
      <c r="Q103" s="1">
        <v>11</v>
      </c>
      <c r="R103" s="1">
        <v>11</v>
      </c>
      <c r="S103" s="1">
        <f t="shared" si="60"/>
        <v>164</v>
      </c>
      <c r="U103" s="3">
        <f t="shared" si="59"/>
        <v>42</v>
      </c>
      <c r="V103" s="1">
        <v>14</v>
      </c>
      <c r="W103" s="1">
        <v>14</v>
      </c>
      <c r="X103" s="1">
        <v>19</v>
      </c>
      <c r="Y103" s="1">
        <v>15</v>
      </c>
      <c r="Z103" s="1">
        <v>19</v>
      </c>
      <c r="AA103" s="1">
        <v>0</v>
      </c>
      <c r="AB103" s="1">
        <v>17</v>
      </c>
      <c r="AC103" s="1">
        <v>16</v>
      </c>
      <c r="AD103" s="1">
        <v>16</v>
      </c>
      <c r="AE103" s="1">
        <v>12</v>
      </c>
      <c r="AF103" s="1">
        <v>11</v>
      </c>
      <c r="AG103" s="1">
        <v>11</v>
      </c>
      <c r="AH103" s="1">
        <f t="shared" si="61"/>
        <v>164</v>
      </c>
    </row>
    <row r="104" spans="6:34" x14ac:dyDescent="0.45">
      <c r="F104" s="3">
        <f t="shared" si="58"/>
        <v>43</v>
      </c>
      <c r="G104" s="1">
        <v>11</v>
      </c>
      <c r="H104" s="1">
        <v>15</v>
      </c>
      <c r="I104" s="1">
        <v>17</v>
      </c>
      <c r="J104" s="1">
        <v>10</v>
      </c>
      <c r="K104" s="1">
        <v>14</v>
      </c>
      <c r="L104" s="1">
        <v>17</v>
      </c>
      <c r="M104" s="1">
        <v>0</v>
      </c>
      <c r="N104" s="1">
        <v>19</v>
      </c>
      <c r="O104" s="1">
        <v>20</v>
      </c>
      <c r="P104" s="1">
        <v>12</v>
      </c>
      <c r="Q104" s="1">
        <v>10</v>
      </c>
      <c r="R104" s="1">
        <v>11</v>
      </c>
      <c r="S104" s="1">
        <f t="shared" si="60"/>
        <v>156</v>
      </c>
      <c r="U104" s="3">
        <f t="shared" si="59"/>
        <v>43</v>
      </c>
      <c r="V104" s="1">
        <v>11</v>
      </c>
      <c r="W104" s="1">
        <v>15</v>
      </c>
      <c r="X104" s="1">
        <v>17</v>
      </c>
      <c r="Y104" s="1">
        <v>10</v>
      </c>
      <c r="Z104" s="1">
        <v>14</v>
      </c>
      <c r="AA104" s="1">
        <v>17</v>
      </c>
      <c r="AB104" s="1">
        <v>0</v>
      </c>
      <c r="AC104" s="1">
        <v>19</v>
      </c>
      <c r="AD104" s="1">
        <v>20</v>
      </c>
      <c r="AE104" s="1">
        <v>12</v>
      </c>
      <c r="AF104" s="1">
        <v>10</v>
      </c>
      <c r="AG104" s="1">
        <v>11</v>
      </c>
      <c r="AH104" s="1">
        <f t="shared" si="61"/>
        <v>156</v>
      </c>
    </row>
    <row r="105" spans="6:34" x14ac:dyDescent="0.45">
      <c r="F105" s="3">
        <f t="shared" si="58"/>
        <v>31</v>
      </c>
      <c r="G105" s="1">
        <v>14</v>
      </c>
      <c r="H105" s="1">
        <v>15</v>
      </c>
      <c r="I105" s="1">
        <v>13</v>
      </c>
      <c r="J105" s="1">
        <v>13</v>
      </c>
      <c r="K105" s="1">
        <v>11</v>
      </c>
      <c r="L105" s="1">
        <v>16</v>
      </c>
      <c r="M105" s="1">
        <v>19</v>
      </c>
      <c r="N105" s="1">
        <v>0</v>
      </c>
      <c r="O105" s="1">
        <v>11</v>
      </c>
      <c r="P105" s="1">
        <v>19</v>
      </c>
      <c r="Q105" s="1">
        <v>19</v>
      </c>
      <c r="R105" s="1">
        <v>20</v>
      </c>
      <c r="S105" s="1">
        <f t="shared" si="60"/>
        <v>170</v>
      </c>
      <c r="U105" s="3">
        <f t="shared" si="59"/>
        <v>31</v>
      </c>
      <c r="V105" s="1">
        <v>14</v>
      </c>
      <c r="W105" s="1">
        <v>15</v>
      </c>
      <c r="X105" s="1">
        <v>13</v>
      </c>
      <c r="Y105" s="1">
        <v>13</v>
      </c>
      <c r="Z105" s="1">
        <v>11</v>
      </c>
      <c r="AA105" s="1">
        <v>16</v>
      </c>
      <c r="AB105" s="1">
        <v>19</v>
      </c>
      <c r="AC105" s="1">
        <v>0</v>
      </c>
      <c r="AD105" s="1">
        <v>11</v>
      </c>
      <c r="AE105" s="1">
        <v>19</v>
      </c>
      <c r="AF105" s="1">
        <v>19</v>
      </c>
      <c r="AG105" s="1">
        <v>20</v>
      </c>
      <c r="AH105" s="1">
        <f t="shared" si="61"/>
        <v>170</v>
      </c>
    </row>
    <row r="106" spans="6:34" x14ac:dyDescent="0.45">
      <c r="F106" s="3">
        <f t="shared" si="58"/>
        <v>33</v>
      </c>
      <c r="G106" s="1">
        <v>13</v>
      </c>
      <c r="H106" s="1">
        <v>15</v>
      </c>
      <c r="I106" s="1">
        <v>13</v>
      </c>
      <c r="J106" s="1">
        <v>12</v>
      </c>
      <c r="K106" s="1">
        <v>17</v>
      </c>
      <c r="L106" s="1">
        <v>16</v>
      </c>
      <c r="M106" s="1">
        <v>20</v>
      </c>
      <c r="N106" s="1">
        <v>11</v>
      </c>
      <c r="O106" s="1">
        <v>0</v>
      </c>
      <c r="P106" s="1">
        <v>17</v>
      </c>
      <c r="Q106" s="1">
        <v>10</v>
      </c>
      <c r="R106" s="1">
        <v>20</v>
      </c>
      <c r="S106" s="1">
        <f t="shared" si="60"/>
        <v>164</v>
      </c>
      <c r="U106" s="3">
        <f t="shared" si="59"/>
        <v>33</v>
      </c>
      <c r="V106" s="1">
        <v>13</v>
      </c>
      <c r="W106" s="1">
        <v>15</v>
      </c>
      <c r="X106" s="1">
        <v>13</v>
      </c>
      <c r="Y106" s="1">
        <v>12</v>
      </c>
      <c r="Z106" s="1">
        <v>17</v>
      </c>
      <c r="AA106" s="1">
        <v>16</v>
      </c>
      <c r="AB106" s="1">
        <v>20</v>
      </c>
      <c r="AC106" s="1">
        <v>11</v>
      </c>
      <c r="AD106" s="1">
        <v>0</v>
      </c>
      <c r="AE106" s="1">
        <v>17</v>
      </c>
      <c r="AF106" s="1">
        <v>10</v>
      </c>
      <c r="AG106" s="1">
        <v>20</v>
      </c>
      <c r="AH106" s="1">
        <f t="shared" si="61"/>
        <v>164</v>
      </c>
    </row>
    <row r="107" spans="6:34" x14ac:dyDescent="0.45">
      <c r="F107" s="3">
        <f t="shared" si="58"/>
        <v>30</v>
      </c>
      <c r="G107" s="1">
        <v>19</v>
      </c>
      <c r="H107" s="1">
        <v>17</v>
      </c>
      <c r="I107" s="1">
        <v>14</v>
      </c>
      <c r="J107" s="1">
        <v>11</v>
      </c>
      <c r="K107" s="1">
        <v>15</v>
      </c>
      <c r="L107" s="1">
        <v>12</v>
      </c>
      <c r="M107" s="1">
        <v>12</v>
      </c>
      <c r="N107" s="1">
        <v>19</v>
      </c>
      <c r="O107" s="1">
        <v>17</v>
      </c>
      <c r="P107" s="1">
        <v>0</v>
      </c>
      <c r="Q107" s="1">
        <v>12</v>
      </c>
      <c r="R107" s="1">
        <v>19</v>
      </c>
      <c r="S107" s="1">
        <f t="shared" si="60"/>
        <v>167</v>
      </c>
      <c r="U107" s="3">
        <f t="shared" si="59"/>
        <v>30</v>
      </c>
      <c r="V107" s="1">
        <v>19</v>
      </c>
      <c r="W107" s="1">
        <v>17</v>
      </c>
      <c r="X107" s="1">
        <v>14</v>
      </c>
      <c r="Y107" s="1">
        <v>11</v>
      </c>
      <c r="Z107" s="1">
        <v>15</v>
      </c>
      <c r="AA107" s="1">
        <v>12</v>
      </c>
      <c r="AB107" s="1">
        <v>12</v>
      </c>
      <c r="AC107" s="1">
        <v>19</v>
      </c>
      <c r="AD107" s="1">
        <v>17</v>
      </c>
      <c r="AE107" s="1">
        <v>0</v>
      </c>
      <c r="AF107" s="1">
        <v>12</v>
      </c>
      <c r="AG107" s="1">
        <v>19</v>
      </c>
      <c r="AH107" s="1">
        <f t="shared" si="61"/>
        <v>167</v>
      </c>
    </row>
    <row r="108" spans="6:34" x14ac:dyDescent="0.45">
      <c r="F108" s="3">
        <f t="shared" si="58"/>
        <v>18</v>
      </c>
      <c r="G108" s="1">
        <v>11</v>
      </c>
      <c r="H108" s="1">
        <v>18</v>
      </c>
      <c r="I108" s="1">
        <v>17</v>
      </c>
      <c r="J108" s="1">
        <v>12</v>
      </c>
      <c r="K108" s="1">
        <v>18</v>
      </c>
      <c r="L108" s="1">
        <v>11</v>
      </c>
      <c r="M108" s="1">
        <v>10</v>
      </c>
      <c r="N108" s="1">
        <v>19</v>
      </c>
      <c r="O108" s="1">
        <v>10</v>
      </c>
      <c r="P108" s="1">
        <v>12</v>
      </c>
      <c r="Q108" s="1">
        <v>0</v>
      </c>
      <c r="R108" s="1">
        <v>15</v>
      </c>
      <c r="S108" s="1">
        <f t="shared" si="60"/>
        <v>153</v>
      </c>
      <c r="U108" s="3">
        <f t="shared" si="59"/>
        <v>18</v>
      </c>
      <c r="V108" s="1">
        <v>11</v>
      </c>
      <c r="W108" s="1">
        <v>18</v>
      </c>
      <c r="X108" s="1">
        <v>17</v>
      </c>
      <c r="Y108" s="1">
        <v>12</v>
      </c>
      <c r="Z108" s="1">
        <v>18</v>
      </c>
      <c r="AA108" s="1">
        <v>11</v>
      </c>
      <c r="AB108" s="1">
        <v>10</v>
      </c>
      <c r="AC108" s="1">
        <v>19</v>
      </c>
      <c r="AD108" s="1">
        <v>10</v>
      </c>
      <c r="AE108" s="1">
        <v>12</v>
      </c>
      <c r="AF108" s="1">
        <v>0</v>
      </c>
      <c r="AG108" s="1">
        <v>15</v>
      </c>
      <c r="AH108" s="1">
        <f t="shared" si="61"/>
        <v>153</v>
      </c>
    </row>
    <row r="109" spans="6:34" x14ac:dyDescent="0.45">
      <c r="F109" s="3">
        <f t="shared" si="58"/>
        <v>40</v>
      </c>
      <c r="G109" s="1">
        <v>16</v>
      </c>
      <c r="H109" s="1">
        <v>15</v>
      </c>
      <c r="I109" s="1">
        <v>10</v>
      </c>
      <c r="J109" s="1">
        <v>13</v>
      </c>
      <c r="K109" s="1">
        <v>19</v>
      </c>
      <c r="L109" s="1">
        <v>11</v>
      </c>
      <c r="M109" s="1">
        <v>11</v>
      </c>
      <c r="N109" s="1">
        <v>20</v>
      </c>
      <c r="O109" s="1">
        <v>20</v>
      </c>
      <c r="P109" s="1">
        <v>19</v>
      </c>
      <c r="Q109" s="1">
        <v>15</v>
      </c>
      <c r="R109" s="1">
        <v>0</v>
      </c>
      <c r="S109" s="1">
        <f t="shared" si="60"/>
        <v>169</v>
      </c>
      <c r="U109" s="3">
        <f t="shared" si="59"/>
        <v>40</v>
      </c>
      <c r="V109" s="1">
        <v>16</v>
      </c>
      <c r="W109" s="1">
        <v>15</v>
      </c>
      <c r="X109" s="1">
        <v>10</v>
      </c>
      <c r="Y109" s="1">
        <v>13</v>
      </c>
      <c r="Z109" s="1">
        <v>19</v>
      </c>
      <c r="AA109" s="1">
        <v>11</v>
      </c>
      <c r="AB109" s="1">
        <v>11</v>
      </c>
      <c r="AC109" s="1">
        <v>20</v>
      </c>
      <c r="AD109" s="1">
        <v>20</v>
      </c>
      <c r="AE109" s="1">
        <v>19</v>
      </c>
      <c r="AF109" s="1">
        <v>15</v>
      </c>
      <c r="AG109" s="1">
        <v>0</v>
      </c>
      <c r="AH109" s="1">
        <f t="shared" si="61"/>
        <v>169</v>
      </c>
    </row>
    <row r="110" spans="6:34" x14ac:dyDescent="0.45">
      <c r="F110" s="3" t="s">
        <v>329</v>
      </c>
      <c r="G110" s="1">
        <f>SUM(G98:G109)</f>
        <v>153</v>
      </c>
      <c r="H110" s="1">
        <f t="shared" ref="H110:R110" si="62">SUM(H98:H109)</f>
        <v>170</v>
      </c>
      <c r="I110" s="1">
        <f t="shared" si="62"/>
        <v>165</v>
      </c>
      <c r="J110" s="1">
        <f t="shared" si="62"/>
        <v>143</v>
      </c>
      <c r="K110" s="1">
        <f t="shared" si="62"/>
        <v>158</v>
      </c>
      <c r="L110" s="1">
        <f t="shared" si="62"/>
        <v>164</v>
      </c>
      <c r="M110" s="1">
        <f t="shared" si="62"/>
        <v>156</v>
      </c>
      <c r="N110" s="1">
        <f t="shared" si="62"/>
        <v>170</v>
      </c>
      <c r="O110" s="1">
        <f t="shared" si="62"/>
        <v>164</v>
      </c>
      <c r="P110" s="1">
        <f t="shared" si="62"/>
        <v>167</v>
      </c>
      <c r="Q110" s="1">
        <f t="shared" si="62"/>
        <v>153</v>
      </c>
      <c r="R110" s="1">
        <f t="shared" si="62"/>
        <v>169</v>
      </c>
      <c r="S110" s="1">
        <f t="shared" si="60"/>
        <v>1932</v>
      </c>
      <c r="U110" s="3" t="s">
        <v>329</v>
      </c>
      <c r="V110" s="1">
        <f>SUM(V98:V109)</f>
        <v>153</v>
      </c>
      <c r="W110" s="1">
        <f t="shared" ref="W110:AG110" si="63">SUM(W98:W109)</f>
        <v>170</v>
      </c>
      <c r="X110" s="1">
        <f t="shared" si="63"/>
        <v>165</v>
      </c>
      <c r="Y110" s="1">
        <f t="shared" si="63"/>
        <v>143</v>
      </c>
      <c r="Z110" s="1">
        <f t="shared" si="63"/>
        <v>158</v>
      </c>
      <c r="AA110" s="1">
        <f t="shared" si="63"/>
        <v>164</v>
      </c>
      <c r="AB110" s="1">
        <f t="shared" si="63"/>
        <v>156</v>
      </c>
      <c r="AC110" s="1">
        <f t="shared" si="63"/>
        <v>170</v>
      </c>
      <c r="AD110" s="1">
        <f t="shared" si="63"/>
        <v>164</v>
      </c>
      <c r="AE110" s="1">
        <f t="shared" si="63"/>
        <v>167</v>
      </c>
      <c r="AF110" s="1">
        <f t="shared" si="63"/>
        <v>153</v>
      </c>
      <c r="AG110" s="1">
        <f t="shared" si="63"/>
        <v>169</v>
      </c>
      <c r="AH110" s="1">
        <f t="shared" si="61"/>
        <v>1932</v>
      </c>
    </row>
    <row r="113" spans="6:34" x14ac:dyDescent="0.45">
      <c r="F113" s="4" t="s">
        <v>173</v>
      </c>
      <c r="G113" s="3">
        <f t="shared" ref="G113:R113" si="64">G33</f>
        <v>9</v>
      </c>
      <c r="H113" s="3">
        <f t="shared" si="64"/>
        <v>12</v>
      </c>
      <c r="I113" s="3">
        <f t="shared" si="64"/>
        <v>29</v>
      </c>
      <c r="J113" s="3">
        <f t="shared" si="64"/>
        <v>24</v>
      </c>
      <c r="K113" s="3">
        <f t="shared" si="64"/>
        <v>21</v>
      </c>
      <c r="L113" s="3">
        <f t="shared" si="64"/>
        <v>42</v>
      </c>
      <c r="M113" s="3">
        <f t="shared" si="64"/>
        <v>43</v>
      </c>
      <c r="N113" s="3">
        <f t="shared" si="64"/>
        <v>31</v>
      </c>
      <c r="O113" s="3">
        <f t="shared" si="64"/>
        <v>33</v>
      </c>
      <c r="P113" s="3">
        <f t="shared" si="64"/>
        <v>30</v>
      </c>
      <c r="Q113" s="3">
        <f t="shared" si="64"/>
        <v>18</v>
      </c>
      <c r="R113" s="3">
        <f t="shared" si="64"/>
        <v>40</v>
      </c>
      <c r="S113" s="3" t="s">
        <v>329</v>
      </c>
      <c r="U113" s="4" t="s">
        <v>191</v>
      </c>
      <c r="V113" s="3">
        <f t="shared" ref="V113:AG113" si="65">V33</f>
        <v>9</v>
      </c>
      <c r="W113" s="3">
        <f t="shared" si="65"/>
        <v>12</v>
      </c>
      <c r="X113" s="3">
        <f t="shared" si="65"/>
        <v>29</v>
      </c>
      <c r="Y113" s="3">
        <f t="shared" si="65"/>
        <v>24</v>
      </c>
      <c r="Z113" s="3">
        <f t="shared" si="65"/>
        <v>21</v>
      </c>
      <c r="AA113" s="3">
        <f t="shared" si="65"/>
        <v>42</v>
      </c>
      <c r="AB113" s="3">
        <f t="shared" si="65"/>
        <v>43</v>
      </c>
      <c r="AC113" s="3">
        <f t="shared" si="65"/>
        <v>31</v>
      </c>
      <c r="AD113" s="3">
        <f t="shared" si="65"/>
        <v>33</v>
      </c>
      <c r="AE113" s="3">
        <f t="shared" si="65"/>
        <v>30</v>
      </c>
      <c r="AF113" s="3">
        <f t="shared" si="65"/>
        <v>18</v>
      </c>
      <c r="AG113" s="3">
        <f t="shared" si="65"/>
        <v>40</v>
      </c>
      <c r="AH113" s="3" t="s">
        <v>329</v>
      </c>
    </row>
    <row r="114" spans="6:34" x14ac:dyDescent="0.45">
      <c r="F114" s="3">
        <f t="shared" ref="F114:F125" si="66">F34</f>
        <v>9</v>
      </c>
      <c r="G114" s="1">
        <v>0</v>
      </c>
      <c r="H114" s="1">
        <v>19</v>
      </c>
      <c r="I114" s="1">
        <v>15</v>
      </c>
      <c r="J114" s="1">
        <v>13</v>
      </c>
      <c r="K114" s="1">
        <v>12</v>
      </c>
      <c r="L114" s="1">
        <v>11</v>
      </c>
      <c r="M114" s="1">
        <v>16</v>
      </c>
      <c r="N114" s="1">
        <v>17</v>
      </c>
      <c r="O114" s="1">
        <v>16</v>
      </c>
      <c r="P114" s="1">
        <v>17</v>
      </c>
      <c r="Q114" s="1">
        <v>15</v>
      </c>
      <c r="R114" s="1">
        <v>11</v>
      </c>
      <c r="S114" s="1">
        <f>SUM(G114:R114)</f>
        <v>162</v>
      </c>
      <c r="U114" s="3">
        <f t="shared" ref="U114:U125" si="67">U34</f>
        <v>9</v>
      </c>
      <c r="V114" s="1">
        <v>0</v>
      </c>
      <c r="W114" s="1">
        <v>19</v>
      </c>
      <c r="X114" s="1">
        <v>15</v>
      </c>
      <c r="Y114" s="1">
        <v>13</v>
      </c>
      <c r="Z114" s="1">
        <v>12</v>
      </c>
      <c r="AA114" s="1">
        <v>11</v>
      </c>
      <c r="AB114" s="1">
        <v>16</v>
      </c>
      <c r="AC114" s="1">
        <v>17</v>
      </c>
      <c r="AD114" s="1">
        <v>16</v>
      </c>
      <c r="AE114" s="1">
        <v>17</v>
      </c>
      <c r="AF114" s="1">
        <v>15</v>
      </c>
      <c r="AG114" s="1">
        <v>11</v>
      </c>
      <c r="AH114" s="1">
        <f>SUM(V114:AG114)</f>
        <v>162</v>
      </c>
    </row>
    <row r="115" spans="6:34" x14ac:dyDescent="0.45">
      <c r="F115" s="3">
        <f t="shared" si="66"/>
        <v>12</v>
      </c>
      <c r="G115" s="1">
        <v>19</v>
      </c>
      <c r="H115" s="1">
        <v>0</v>
      </c>
      <c r="I115" s="1">
        <v>16</v>
      </c>
      <c r="J115" s="1">
        <v>16</v>
      </c>
      <c r="K115" s="1">
        <v>11</v>
      </c>
      <c r="L115" s="1">
        <v>20</v>
      </c>
      <c r="M115" s="1">
        <v>15</v>
      </c>
      <c r="N115" s="1">
        <v>13</v>
      </c>
      <c r="O115" s="1">
        <v>17</v>
      </c>
      <c r="P115" s="1">
        <v>11</v>
      </c>
      <c r="Q115" s="1">
        <v>11</v>
      </c>
      <c r="R115" s="1">
        <v>18</v>
      </c>
      <c r="S115" s="1">
        <f t="shared" ref="S115:S126" si="68">SUM(G115:R115)</f>
        <v>167</v>
      </c>
      <c r="U115" s="3">
        <f t="shared" si="67"/>
        <v>12</v>
      </c>
      <c r="V115" s="1">
        <v>19</v>
      </c>
      <c r="W115" s="1">
        <v>0</v>
      </c>
      <c r="X115" s="1">
        <v>16</v>
      </c>
      <c r="Y115" s="1">
        <v>16</v>
      </c>
      <c r="Z115" s="1">
        <v>11</v>
      </c>
      <c r="AA115" s="1">
        <v>20</v>
      </c>
      <c r="AB115" s="1">
        <v>15</v>
      </c>
      <c r="AC115" s="1">
        <v>13</v>
      </c>
      <c r="AD115" s="1">
        <v>17</v>
      </c>
      <c r="AE115" s="1">
        <v>11</v>
      </c>
      <c r="AF115" s="1">
        <v>11</v>
      </c>
      <c r="AG115" s="1">
        <v>18</v>
      </c>
      <c r="AH115" s="1">
        <f t="shared" ref="AH115:AH126" si="69">SUM(V115:AG115)</f>
        <v>167</v>
      </c>
    </row>
    <row r="116" spans="6:34" x14ac:dyDescent="0.45">
      <c r="F116" s="3">
        <f t="shared" si="66"/>
        <v>29</v>
      </c>
      <c r="G116" s="1">
        <v>15</v>
      </c>
      <c r="H116" s="1">
        <v>16</v>
      </c>
      <c r="I116" s="1">
        <v>0</v>
      </c>
      <c r="J116" s="1">
        <v>17</v>
      </c>
      <c r="K116" s="1">
        <v>11</v>
      </c>
      <c r="L116" s="1">
        <v>14</v>
      </c>
      <c r="M116" s="1">
        <v>13</v>
      </c>
      <c r="N116" s="1">
        <v>10</v>
      </c>
      <c r="O116" s="1">
        <v>20</v>
      </c>
      <c r="P116" s="1">
        <v>15</v>
      </c>
      <c r="Q116" s="1">
        <v>19</v>
      </c>
      <c r="R116" s="1">
        <v>19</v>
      </c>
      <c r="S116" s="1">
        <f t="shared" si="68"/>
        <v>169</v>
      </c>
      <c r="U116" s="3">
        <f t="shared" si="67"/>
        <v>29</v>
      </c>
      <c r="V116" s="1">
        <v>15</v>
      </c>
      <c r="W116" s="1">
        <v>16</v>
      </c>
      <c r="X116" s="1">
        <v>0</v>
      </c>
      <c r="Y116" s="1">
        <v>17</v>
      </c>
      <c r="Z116" s="1">
        <v>11</v>
      </c>
      <c r="AA116" s="1">
        <v>14</v>
      </c>
      <c r="AB116" s="1">
        <v>13</v>
      </c>
      <c r="AC116" s="1">
        <v>10</v>
      </c>
      <c r="AD116" s="1">
        <v>20</v>
      </c>
      <c r="AE116" s="1">
        <v>15</v>
      </c>
      <c r="AF116" s="1">
        <v>19</v>
      </c>
      <c r="AG116" s="1">
        <v>19</v>
      </c>
      <c r="AH116" s="1">
        <f t="shared" si="69"/>
        <v>169</v>
      </c>
    </row>
    <row r="117" spans="6:34" x14ac:dyDescent="0.45">
      <c r="F117" s="3">
        <f t="shared" si="66"/>
        <v>24</v>
      </c>
      <c r="G117" s="1">
        <v>13</v>
      </c>
      <c r="H117" s="1">
        <v>16</v>
      </c>
      <c r="I117" s="1">
        <v>17</v>
      </c>
      <c r="J117" s="1">
        <v>0</v>
      </c>
      <c r="K117" s="1">
        <v>15</v>
      </c>
      <c r="L117" s="1">
        <v>10</v>
      </c>
      <c r="M117" s="1">
        <v>16</v>
      </c>
      <c r="N117" s="1">
        <v>15</v>
      </c>
      <c r="O117" s="1">
        <v>16</v>
      </c>
      <c r="P117" s="1">
        <v>20</v>
      </c>
      <c r="Q117" s="1">
        <v>12</v>
      </c>
      <c r="R117" s="1">
        <v>20</v>
      </c>
      <c r="S117" s="1">
        <f t="shared" si="68"/>
        <v>170</v>
      </c>
      <c r="U117" s="3">
        <f t="shared" si="67"/>
        <v>24</v>
      </c>
      <c r="V117" s="1">
        <v>13</v>
      </c>
      <c r="W117" s="1">
        <v>16</v>
      </c>
      <c r="X117" s="1">
        <v>17</v>
      </c>
      <c r="Y117" s="1">
        <v>0</v>
      </c>
      <c r="Z117" s="1">
        <v>15</v>
      </c>
      <c r="AA117" s="1">
        <v>10</v>
      </c>
      <c r="AB117" s="1">
        <v>16</v>
      </c>
      <c r="AC117" s="1">
        <v>15</v>
      </c>
      <c r="AD117" s="1">
        <v>16</v>
      </c>
      <c r="AE117" s="1">
        <v>20</v>
      </c>
      <c r="AF117" s="1">
        <v>12</v>
      </c>
      <c r="AG117" s="1">
        <v>20</v>
      </c>
      <c r="AH117" s="1">
        <f t="shared" si="69"/>
        <v>170</v>
      </c>
    </row>
    <row r="118" spans="6:34" x14ac:dyDescent="0.45">
      <c r="F118" s="3">
        <f t="shared" si="66"/>
        <v>21</v>
      </c>
      <c r="G118" s="1">
        <v>12</v>
      </c>
      <c r="H118" s="1">
        <v>11</v>
      </c>
      <c r="I118" s="1">
        <v>11</v>
      </c>
      <c r="J118" s="1">
        <v>15</v>
      </c>
      <c r="K118" s="1">
        <v>0</v>
      </c>
      <c r="L118" s="1">
        <v>15</v>
      </c>
      <c r="M118" s="1">
        <v>14</v>
      </c>
      <c r="N118" s="1">
        <v>20</v>
      </c>
      <c r="O118" s="1">
        <v>18</v>
      </c>
      <c r="P118" s="1">
        <v>20</v>
      </c>
      <c r="Q118" s="1">
        <v>19</v>
      </c>
      <c r="R118" s="1">
        <v>18</v>
      </c>
      <c r="S118" s="1">
        <f t="shared" si="68"/>
        <v>173</v>
      </c>
      <c r="U118" s="3">
        <f t="shared" si="67"/>
        <v>21</v>
      </c>
      <c r="V118" s="1">
        <v>12</v>
      </c>
      <c r="W118" s="1">
        <v>11</v>
      </c>
      <c r="X118" s="1">
        <v>11</v>
      </c>
      <c r="Y118" s="1">
        <v>15</v>
      </c>
      <c r="Z118" s="1">
        <v>0</v>
      </c>
      <c r="AA118" s="1">
        <v>15</v>
      </c>
      <c r="AB118" s="1">
        <v>14</v>
      </c>
      <c r="AC118" s="1">
        <v>20</v>
      </c>
      <c r="AD118" s="1">
        <v>18</v>
      </c>
      <c r="AE118" s="1">
        <v>20</v>
      </c>
      <c r="AF118" s="1">
        <v>19</v>
      </c>
      <c r="AG118" s="1">
        <v>18</v>
      </c>
      <c r="AH118" s="1">
        <f t="shared" si="69"/>
        <v>173</v>
      </c>
    </row>
    <row r="119" spans="6:34" x14ac:dyDescent="0.45">
      <c r="F119" s="3">
        <f t="shared" si="66"/>
        <v>42</v>
      </c>
      <c r="G119" s="1">
        <v>11</v>
      </c>
      <c r="H119" s="1">
        <v>20</v>
      </c>
      <c r="I119" s="1">
        <v>14</v>
      </c>
      <c r="J119" s="1">
        <v>10</v>
      </c>
      <c r="K119" s="1">
        <v>15</v>
      </c>
      <c r="L119" s="1">
        <v>0</v>
      </c>
      <c r="M119" s="1">
        <v>17</v>
      </c>
      <c r="N119" s="1">
        <v>17</v>
      </c>
      <c r="O119" s="1">
        <v>10</v>
      </c>
      <c r="P119" s="1">
        <v>13</v>
      </c>
      <c r="Q119" s="1">
        <v>16</v>
      </c>
      <c r="R119" s="1">
        <v>15</v>
      </c>
      <c r="S119" s="1">
        <f t="shared" si="68"/>
        <v>158</v>
      </c>
      <c r="U119" s="3">
        <f t="shared" si="67"/>
        <v>42</v>
      </c>
      <c r="V119" s="1">
        <v>11</v>
      </c>
      <c r="W119" s="1">
        <v>20</v>
      </c>
      <c r="X119" s="1">
        <v>14</v>
      </c>
      <c r="Y119" s="1">
        <v>10</v>
      </c>
      <c r="Z119" s="1">
        <v>15</v>
      </c>
      <c r="AA119" s="1">
        <v>0</v>
      </c>
      <c r="AB119" s="1">
        <v>17</v>
      </c>
      <c r="AC119" s="1">
        <v>17</v>
      </c>
      <c r="AD119" s="1">
        <v>10</v>
      </c>
      <c r="AE119" s="1">
        <v>13</v>
      </c>
      <c r="AF119" s="1">
        <v>16</v>
      </c>
      <c r="AG119" s="1">
        <v>15</v>
      </c>
      <c r="AH119" s="1">
        <f t="shared" si="69"/>
        <v>158</v>
      </c>
    </row>
    <row r="120" spans="6:34" x14ac:dyDescent="0.45">
      <c r="F120" s="3">
        <f t="shared" si="66"/>
        <v>43</v>
      </c>
      <c r="G120" s="1">
        <v>16</v>
      </c>
      <c r="H120" s="1">
        <v>15</v>
      </c>
      <c r="I120" s="1">
        <v>13</v>
      </c>
      <c r="J120" s="1">
        <v>16</v>
      </c>
      <c r="K120" s="1">
        <v>14</v>
      </c>
      <c r="L120" s="1">
        <v>17</v>
      </c>
      <c r="M120" s="1">
        <v>0</v>
      </c>
      <c r="N120" s="1">
        <v>12</v>
      </c>
      <c r="O120" s="1">
        <v>11</v>
      </c>
      <c r="P120" s="1">
        <v>20</v>
      </c>
      <c r="Q120" s="1">
        <v>17</v>
      </c>
      <c r="R120" s="1">
        <v>14</v>
      </c>
      <c r="S120" s="1">
        <f t="shared" si="68"/>
        <v>165</v>
      </c>
      <c r="U120" s="3">
        <f t="shared" si="67"/>
        <v>43</v>
      </c>
      <c r="V120" s="1">
        <v>16</v>
      </c>
      <c r="W120" s="1">
        <v>15</v>
      </c>
      <c r="X120" s="1">
        <v>13</v>
      </c>
      <c r="Y120" s="1">
        <v>16</v>
      </c>
      <c r="Z120" s="1">
        <v>14</v>
      </c>
      <c r="AA120" s="1">
        <v>17</v>
      </c>
      <c r="AB120" s="1">
        <v>0</v>
      </c>
      <c r="AC120" s="1">
        <v>12</v>
      </c>
      <c r="AD120" s="1">
        <v>11</v>
      </c>
      <c r="AE120" s="1">
        <v>20</v>
      </c>
      <c r="AF120" s="1">
        <v>17</v>
      </c>
      <c r="AG120" s="1">
        <v>14</v>
      </c>
      <c r="AH120" s="1">
        <f t="shared" si="69"/>
        <v>165</v>
      </c>
    </row>
    <row r="121" spans="6:34" x14ac:dyDescent="0.45">
      <c r="F121" s="3">
        <f t="shared" si="66"/>
        <v>31</v>
      </c>
      <c r="G121" s="1">
        <v>17</v>
      </c>
      <c r="H121" s="1">
        <v>13</v>
      </c>
      <c r="I121" s="1">
        <v>10</v>
      </c>
      <c r="J121" s="1">
        <v>15</v>
      </c>
      <c r="K121" s="1">
        <v>20</v>
      </c>
      <c r="L121" s="1">
        <v>17</v>
      </c>
      <c r="M121" s="1">
        <v>12</v>
      </c>
      <c r="N121" s="1">
        <v>0</v>
      </c>
      <c r="O121" s="1">
        <v>11</v>
      </c>
      <c r="P121" s="1">
        <v>20</v>
      </c>
      <c r="Q121" s="1">
        <v>14</v>
      </c>
      <c r="R121" s="1">
        <v>11</v>
      </c>
      <c r="S121" s="1">
        <f t="shared" si="68"/>
        <v>160</v>
      </c>
      <c r="U121" s="3">
        <f t="shared" si="67"/>
        <v>31</v>
      </c>
      <c r="V121" s="1">
        <v>17</v>
      </c>
      <c r="W121" s="1">
        <v>13</v>
      </c>
      <c r="X121" s="1">
        <v>10</v>
      </c>
      <c r="Y121" s="1">
        <v>15</v>
      </c>
      <c r="Z121" s="1">
        <v>20</v>
      </c>
      <c r="AA121" s="1">
        <v>17</v>
      </c>
      <c r="AB121" s="1">
        <v>12</v>
      </c>
      <c r="AC121" s="1">
        <v>0</v>
      </c>
      <c r="AD121" s="1">
        <v>11</v>
      </c>
      <c r="AE121" s="1">
        <v>20</v>
      </c>
      <c r="AF121" s="1">
        <v>14</v>
      </c>
      <c r="AG121" s="1">
        <v>11</v>
      </c>
      <c r="AH121" s="1">
        <f t="shared" si="69"/>
        <v>160</v>
      </c>
    </row>
    <row r="122" spans="6:34" x14ac:dyDescent="0.45">
      <c r="F122" s="3">
        <f t="shared" si="66"/>
        <v>33</v>
      </c>
      <c r="G122" s="1">
        <v>16</v>
      </c>
      <c r="H122" s="1">
        <v>17</v>
      </c>
      <c r="I122" s="1">
        <v>20</v>
      </c>
      <c r="J122" s="1">
        <v>16</v>
      </c>
      <c r="K122" s="1">
        <v>18</v>
      </c>
      <c r="L122" s="1">
        <v>10</v>
      </c>
      <c r="M122" s="1">
        <v>11</v>
      </c>
      <c r="N122" s="1">
        <v>11</v>
      </c>
      <c r="O122" s="1">
        <v>0</v>
      </c>
      <c r="P122" s="1">
        <v>10</v>
      </c>
      <c r="Q122" s="1">
        <v>15</v>
      </c>
      <c r="R122" s="1">
        <v>16</v>
      </c>
      <c r="S122" s="1">
        <f t="shared" si="68"/>
        <v>160</v>
      </c>
      <c r="U122" s="3">
        <f t="shared" si="67"/>
        <v>33</v>
      </c>
      <c r="V122" s="1">
        <v>16</v>
      </c>
      <c r="W122" s="1">
        <v>17</v>
      </c>
      <c r="X122" s="1">
        <v>20</v>
      </c>
      <c r="Y122" s="1">
        <v>16</v>
      </c>
      <c r="Z122" s="1">
        <v>18</v>
      </c>
      <c r="AA122" s="1">
        <v>10</v>
      </c>
      <c r="AB122" s="1">
        <v>11</v>
      </c>
      <c r="AC122" s="1">
        <v>11</v>
      </c>
      <c r="AD122" s="1">
        <v>0</v>
      </c>
      <c r="AE122" s="1">
        <v>10</v>
      </c>
      <c r="AF122" s="1">
        <v>15</v>
      </c>
      <c r="AG122" s="1">
        <v>16</v>
      </c>
      <c r="AH122" s="1">
        <f t="shared" si="69"/>
        <v>160</v>
      </c>
    </row>
    <row r="123" spans="6:34" x14ac:dyDescent="0.45">
      <c r="F123" s="3">
        <f t="shared" si="66"/>
        <v>30</v>
      </c>
      <c r="G123" s="1">
        <v>17</v>
      </c>
      <c r="H123" s="1">
        <v>11</v>
      </c>
      <c r="I123" s="1">
        <v>15</v>
      </c>
      <c r="J123" s="1">
        <v>20</v>
      </c>
      <c r="K123" s="1">
        <v>20</v>
      </c>
      <c r="L123" s="1">
        <v>13</v>
      </c>
      <c r="M123" s="1">
        <v>20</v>
      </c>
      <c r="N123" s="1">
        <v>20</v>
      </c>
      <c r="O123" s="1">
        <v>10</v>
      </c>
      <c r="P123" s="1">
        <v>0</v>
      </c>
      <c r="Q123" s="1">
        <v>18</v>
      </c>
      <c r="R123" s="1">
        <v>17</v>
      </c>
      <c r="S123" s="1">
        <f t="shared" si="68"/>
        <v>181</v>
      </c>
      <c r="U123" s="3">
        <f t="shared" si="67"/>
        <v>30</v>
      </c>
      <c r="V123" s="1">
        <v>17</v>
      </c>
      <c r="W123" s="1">
        <v>11</v>
      </c>
      <c r="X123" s="1">
        <v>15</v>
      </c>
      <c r="Y123" s="1">
        <v>20</v>
      </c>
      <c r="Z123" s="1">
        <v>20</v>
      </c>
      <c r="AA123" s="1">
        <v>13</v>
      </c>
      <c r="AB123" s="1">
        <v>20</v>
      </c>
      <c r="AC123" s="1">
        <v>20</v>
      </c>
      <c r="AD123" s="1">
        <v>10</v>
      </c>
      <c r="AE123" s="1">
        <v>0</v>
      </c>
      <c r="AF123" s="1">
        <v>18</v>
      </c>
      <c r="AG123" s="1">
        <v>17</v>
      </c>
      <c r="AH123" s="1">
        <f t="shared" si="69"/>
        <v>181</v>
      </c>
    </row>
    <row r="124" spans="6:34" x14ac:dyDescent="0.45">
      <c r="F124" s="3">
        <f t="shared" si="66"/>
        <v>18</v>
      </c>
      <c r="G124" s="1">
        <v>15</v>
      </c>
      <c r="H124" s="1">
        <v>11</v>
      </c>
      <c r="I124" s="1">
        <v>19</v>
      </c>
      <c r="J124" s="1">
        <v>12</v>
      </c>
      <c r="K124" s="1">
        <v>19</v>
      </c>
      <c r="L124" s="1">
        <v>16</v>
      </c>
      <c r="M124" s="1">
        <v>17</v>
      </c>
      <c r="N124" s="1">
        <v>14</v>
      </c>
      <c r="O124" s="1">
        <v>15</v>
      </c>
      <c r="P124" s="1">
        <v>18</v>
      </c>
      <c r="Q124" s="1">
        <v>0</v>
      </c>
      <c r="R124" s="1">
        <v>20</v>
      </c>
      <c r="S124" s="1">
        <f t="shared" si="68"/>
        <v>176</v>
      </c>
      <c r="U124" s="3">
        <f t="shared" si="67"/>
        <v>18</v>
      </c>
      <c r="V124" s="1">
        <v>15</v>
      </c>
      <c r="W124" s="1">
        <v>11</v>
      </c>
      <c r="X124" s="1">
        <v>19</v>
      </c>
      <c r="Y124" s="1">
        <v>12</v>
      </c>
      <c r="Z124" s="1">
        <v>19</v>
      </c>
      <c r="AA124" s="1">
        <v>16</v>
      </c>
      <c r="AB124" s="1">
        <v>17</v>
      </c>
      <c r="AC124" s="1">
        <v>14</v>
      </c>
      <c r="AD124" s="1">
        <v>15</v>
      </c>
      <c r="AE124" s="1">
        <v>18</v>
      </c>
      <c r="AF124" s="1">
        <v>0</v>
      </c>
      <c r="AG124" s="1">
        <v>20</v>
      </c>
      <c r="AH124" s="1">
        <f t="shared" si="69"/>
        <v>176</v>
      </c>
    </row>
    <row r="125" spans="6:34" x14ac:dyDescent="0.45">
      <c r="F125" s="3">
        <f t="shared" si="66"/>
        <v>40</v>
      </c>
      <c r="G125" s="1">
        <v>11</v>
      </c>
      <c r="H125" s="1">
        <v>18</v>
      </c>
      <c r="I125" s="1">
        <v>19</v>
      </c>
      <c r="J125" s="1">
        <v>20</v>
      </c>
      <c r="K125" s="1">
        <v>18</v>
      </c>
      <c r="L125" s="1">
        <v>15</v>
      </c>
      <c r="M125" s="1">
        <v>14</v>
      </c>
      <c r="N125" s="1">
        <v>11</v>
      </c>
      <c r="O125" s="1">
        <v>16</v>
      </c>
      <c r="P125" s="1">
        <v>17</v>
      </c>
      <c r="Q125" s="1">
        <v>20</v>
      </c>
      <c r="R125" s="1">
        <v>0</v>
      </c>
      <c r="S125" s="1">
        <f t="shared" si="68"/>
        <v>179</v>
      </c>
      <c r="U125" s="3">
        <f t="shared" si="67"/>
        <v>40</v>
      </c>
      <c r="V125" s="1">
        <v>11</v>
      </c>
      <c r="W125" s="1">
        <v>18</v>
      </c>
      <c r="X125" s="1">
        <v>19</v>
      </c>
      <c r="Y125" s="1">
        <v>20</v>
      </c>
      <c r="Z125" s="1">
        <v>18</v>
      </c>
      <c r="AA125" s="1">
        <v>15</v>
      </c>
      <c r="AB125" s="1">
        <v>14</v>
      </c>
      <c r="AC125" s="1">
        <v>11</v>
      </c>
      <c r="AD125" s="1">
        <v>16</v>
      </c>
      <c r="AE125" s="1">
        <v>17</v>
      </c>
      <c r="AF125" s="1">
        <v>20</v>
      </c>
      <c r="AG125" s="1">
        <v>0</v>
      </c>
      <c r="AH125" s="1">
        <f t="shared" si="69"/>
        <v>179</v>
      </c>
    </row>
    <row r="126" spans="6:34" x14ac:dyDescent="0.45">
      <c r="F126" s="3" t="s">
        <v>329</v>
      </c>
      <c r="G126" s="1">
        <f>SUM(G114:G125)</f>
        <v>162</v>
      </c>
      <c r="H126" s="1">
        <f t="shared" ref="H126:R126" si="70">SUM(H114:H125)</f>
        <v>167</v>
      </c>
      <c r="I126" s="1">
        <f t="shared" si="70"/>
        <v>169</v>
      </c>
      <c r="J126" s="1">
        <f t="shared" si="70"/>
        <v>170</v>
      </c>
      <c r="K126" s="1">
        <f t="shared" si="70"/>
        <v>173</v>
      </c>
      <c r="L126" s="1">
        <f t="shared" si="70"/>
        <v>158</v>
      </c>
      <c r="M126" s="1">
        <f t="shared" si="70"/>
        <v>165</v>
      </c>
      <c r="N126" s="1">
        <f t="shared" si="70"/>
        <v>160</v>
      </c>
      <c r="O126" s="1">
        <f t="shared" si="70"/>
        <v>160</v>
      </c>
      <c r="P126" s="1">
        <f t="shared" si="70"/>
        <v>181</v>
      </c>
      <c r="Q126" s="1">
        <f t="shared" si="70"/>
        <v>176</v>
      </c>
      <c r="R126" s="1">
        <f t="shared" si="70"/>
        <v>179</v>
      </c>
      <c r="S126" s="1">
        <f t="shared" si="68"/>
        <v>2020</v>
      </c>
      <c r="U126" s="3" t="s">
        <v>329</v>
      </c>
      <c r="V126" s="1">
        <f>SUM(V114:V125)</f>
        <v>162</v>
      </c>
      <c r="W126" s="1">
        <f t="shared" ref="W126:AG126" si="71">SUM(W114:W125)</f>
        <v>167</v>
      </c>
      <c r="X126" s="1">
        <f t="shared" si="71"/>
        <v>169</v>
      </c>
      <c r="Y126" s="1">
        <f t="shared" si="71"/>
        <v>170</v>
      </c>
      <c r="Z126" s="1">
        <f t="shared" si="71"/>
        <v>173</v>
      </c>
      <c r="AA126" s="1">
        <f t="shared" si="71"/>
        <v>158</v>
      </c>
      <c r="AB126" s="1">
        <f t="shared" si="71"/>
        <v>165</v>
      </c>
      <c r="AC126" s="1">
        <f t="shared" si="71"/>
        <v>160</v>
      </c>
      <c r="AD126" s="1">
        <f t="shared" si="71"/>
        <v>160</v>
      </c>
      <c r="AE126" s="1">
        <f t="shared" si="71"/>
        <v>181</v>
      </c>
      <c r="AF126" s="1">
        <f t="shared" si="71"/>
        <v>176</v>
      </c>
      <c r="AG126" s="1">
        <f t="shared" si="71"/>
        <v>179</v>
      </c>
      <c r="AH126" s="1">
        <f t="shared" si="69"/>
        <v>2020</v>
      </c>
    </row>
    <row r="129" spans="6:34" x14ac:dyDescent="0.45">
      <c r="F129" s="4" t="s">
        <v>175</v>
      </c>
      <c r="G129" s="3">
        <f t="shared" ref="G129:R129" si="72">G33</f>
        <v>9</v>
      </c>
      <c r="H129" s="3">
        <f t="shared" si="72"/>
        <v>12</v>
      </c>
      <c r="I129" s="3">
        <f t="shared" si="72"/>
        <v>29</v>
      </c>
      <c r="J129" s="3">
        <f t="shared" si="72"/>
        <v>24</v>
      </c>
      <c r="K129" s="3">
        <f t="shared" si="72"/>
        <v>21</v>
      </c>
      <c r="L129" s="3">
        <f t="shared" si="72"/>
        <v>42</v>
      </c>
      <c r="M129" s="3">
        <f t="shared" si="72"/>
        <v>43</v>
      </c>
      <c r="N129" s="3">
        <f t="shared" si="72"/>
        <v>31</v>
      </c>
      <c r="O129" s="3">
        <f t="shared" si="72"/>
        <v>33</v>
      </c>
      <c r="P129" s="3">
        <f t="shared" si="72"/>
        <v>30</v>
      </c>
      <c r="Q129" s="3">
        <f t="shared" si="72"/>
        <v>18</v>
      </c>
      <c r="R129" s="3">
        <f t="shared" si="72"/>
        <v>40</v>
      </c>
      <c r="S129" s="3" t="s">
        <v>329</v>
      </c>
      <c r="U129" s="4" t="s">
        <v>193</v>
      </c>
      <c r="V129" s="3">
        <f t="shared" ref="V129:AG129" si="73">V33</f>
        <v>9</v>
      </c>
      <c r="W129" s="3">
        <f t="shared" si="73"/>
        <v>12</v>
      </c>
      <c r="X129" s="3">
        <f t="shared" si="73"/>
        <v>29</v>
      </c>
      <c r="Y129" s="3">
        <f t="shared" si="73"/>
        <v>24</v>
      </c>
      <c r="Z129" s="3">
        <f t="shared" si="73"/>
        <v>21</v>
      </c>
      <c r="AA129" s="3">
        <f t="shared" si="73"/>
        <v>42</v>
      </c>
      <c r="AB129" s="3">
        <f t="shared" si="73"/>
        <v>43</v>
      </c>
      <c r="AC129" s="3">
        <f t="shared" si="73"/>
        <v>31</v>
      </c>
      <c r="AD129" s="3">
        <f t="shared" si="73"/>
        <v>33</v>
      </c>
      <c r="AE129" s="3">
        <f t="shared" si="73"/>
        <v>30</v>
      </c>
      <c r="AF129" s="3">
        <f t="shared" si="73"/>
        <v>18</v>
      </c>
      <c r="AG129" s="3">
        <f t="shared" si="73"/>
        <v>40</v>
      </c>
      <c r="AH129" s="3" t="s">
        <v>329</v>
      </c>
    </row>
    <row r="130" spans="6:34" x14ac:dyDescent="0.45">
      <c r="F130" s="3">
        <f t="shared" ref="F130:F141" si="74">F34</f>
        <v>9</v>
      </c>
      <c r="G130" s="1">
        <v>0</v>
      </c>
      <c r="H130" s="1">
        <v>56</v>
      </c>
      <c r="I130" s="1">
        <v>60</v>
      </c>
      <c r="J130" s="1">
        <v>57</v>
      </c>
      <c r="K130" s="1">
        <v>51</v>
      </c>
      <c r="L130" s="1">
        <v>59</v>
      </c>
      <c r="M130" s="1">
        <v>55</v>
      </c>
      <c r="N130" s="1">
        <v>57</v>
      </c>
      <c r="O130" s="1">
        <v>52</v>
      </c>
      <c r="P130" s="1">
        <v>50</v>
      </c>
      <c r="Q130" s="1">
        <v>53</v>
      </c>
      <c r="R130" s="1">
        <v>59</v>
      </c>
      <c r="S130" s="1">
        <f>SUM(G130:R130)</f>
        <v>609</v>
      </c>
      <c r="U130" s="3">
        <f t="shared" ref="U130:U141" si="75">U34</f>
        <v>9</v>
      </c>
      <c r="V130" s="1">
        <v>0</v>
      </c>
      <c r="W130" s="1">
        <v>56</v>
      </c>
      <c r="X130" s="1">
        <v>60</v>
      </c>
      <c r="Y130" s="1">
        <v>57</v>
      </c>
      <c r="Z130" s="1">
        <v>51</v>
      </c>
      <c r="AA130" s="1">
        <v>59</v>
      </c>
      <c r="AB130" s="1">
        <v>55</v>
      </c>
      <c r="AC130" s="1">
        <v>57</v>
      </c>
      <c r="AD130" s="1">
        <v>52</v>
      </c>
      <c r="AE130" s="1">
        <v>50</v>
      </c>
      <c r="AF130" s="1">
        <v>53</v>
      </c>
      <c r="AG130" s="1">
        <v>59</v>
      </c>
      <c r="AH130" s="1">
        <f>SUM(V130:AG130)</f>
        <v>609</v>
      </c>
    </row>
    <row r="131" spans="6:34" x14ac:dyDescent="0.45">
      <c r="F131" s="3">
        <f t="shared" si="74"/>
        <v>12</v>
      </c>
      <c r="G131" s="1">
        <v>56</v>
      </c>
      <c r="H131" s="1">
        <v>0</v>
      </c>
      <c r="I131" s="1">
        <v>51</v>
      </c>
      <c r="J131" s="1">
        <v>55</v>
      </c>
      <c r="K131" s="1">
        <v>57</v>
      </c>
      <c r="L131" s="1">
        <v>54</v>
      </c>
      <c r="M131" s="1">
        <v>50</v>
      </c>
      <c r="N131" s="1">
        <v>60</v>
      </c>
      <c r="O131" s="1">
        <v>51</v>
      </c>
      <c r="P131" s="1">
        <v>53</v>
      </c>
      <c r="Q131" s="1">
        <v>54</v>
      </c>
      <c r="R131" s="1">
        <v>57</v>
      </c>
      <c r="S131" s="1">
        <f t="shared" ref="S131:S142" si="76">SUM(G131:R131)</f>
        <v>598</v>
      </c>
      <c r="U131" s="3">
        <f t="shared" si="75"/>
        <v>12</v>
      </c>
      <c r="V131" s="1">
        <v>56</v>
      </c>
      <c r="W131" s="1">
        <v>0</v>
      </c>
      <c r="X131" s="1">
        <v>51</v>
      </c>
      <c r="Y131" s="1">
        <v>55</v>
      </c>
      <c r="Z131" s="1">
        <v>57</v>
      </c>
      <c r="AA131" s="1">
        <v>54</v>
      </c>
      <c r="AB131" s="1">
        <v>50</v>
      </c>
      <c r="AC131" s="1">
        <v>60</v>
      </c>
      <c r="AD131" s="1">
        <v>51</v>
      </c>
      <c r="AE131" s="1">
        <v>53</v>
      </c>
      <c r="AF131" s="1">
        <v>54</v>
      </c>
      <c r="AG131" s="1">
        <v>57</v>
      </c>
      <c r="AH131" s="1">
        <f t="shared" ref="AH131:AH142" si="77">SUM(V131:AG131)</f>
        <v>598</v>
      </c>
    </row>
    <row r="132" spans="6:34" x14ac:dyDescent="0.45">
      <c r="F132" s="3">
        <f t="shared" si="74"/>
        <v>29</v>
      </c>
      <c r="G132" s="1">
        <v>60</v>
      </c>
      <c r="H132" s="1">
        <v>51</v>
      </c>
      <c r="I132" s="1">
        <v>0</v>
      </c>
      <c r="J132" s="1">
        <v>58</v>
      </c>
      <c r="K132" s="1">
        <v>50</v>
      </c>
      <c r="L132" s="1">
        <v>60</v>
      </c>
      <c r="M132" s="1">
        <v>50</v>
      </c>
      <c r="N132" s="1">
        <v>52</v>
      </c>
      <c r="O132" s="1">
        <v>52</v>
      </c>
      <c r="P132" s="1">
        <v>60</v>
      </c>
      <c r="Q132" s="1">
        <v>51</v>
      </c>
      <c r="R132" s="1">
        <v>55</v>
      </c>
      <c r="S132" s="1">
        <f t="shared" si="76"/>
        <v>599</v>
      </c>
      <c r="U132" s="3">
        <f t="shared" si="75"/>
        <v>29</v>
      </c>
      <c r="V132" s="1">
        <v>60</v>
      </c>
      <c r="W132" s="1">
        <v>51</v>
      </c>
      <c r="X132" s="1">
        <v>0</v>
      </c>
      <c r="Y132" s="1">
        <v>58</v>
      </c>
      <c r="Z132" s="1">
        <v>50</v>
      </c>
      <c r="AA132" s="1">
        <v>60</v>
      </c>
      <c r="AB132" s="1">
        <v>50</v>
      </c>
      <c r="AC132" s="1">
        <v>52</v>
      </c>
      <c r="AD132" s="1">
        <v>52</v>
      </c>
      <c r="AE132" s="1">
        <v>60</v>
      </c>
      <c r="AF132" s="1">
        <v>51</v>
      </c>
      <c r="AG132" s="1">
        <v>55</v>
      </c>
      <c r="AH132" s="1">
        <f t="shared" si="77"/>
        <v>599</v>
      </c>
    </row>
    <row r="133" spans="6:34" x14ac:dyDescent="0.45">
      <c r="F133" s="3">
        <f t="shared" si="74"/>
        <v>24</v>
      </c>
      <c r="G133" s="1">
        <v>57</v>
      </c>
      <c r="H133" s="1">
        <v>55</v>
      </c>
      <c r="I133" s="1">
        <v>58</v>
      </c>
      <c r="J133" s="1">
        <v>0</v>
      </c>
      <c r="K133" s="1">
        <v>55</v>
      </c>
      <c r="L133" s="1">
        <v>52</v>
      </c>
      <c r="M133" s="1">
        <v>54</v>
      </c>
      <c r="N133" s="1">
        <v>51</v>
      </c>
      <c r="O133" s="1">
        <v>56</v>
      </c>
      <c r="P133" s="1">
        <v>53</v>
      </c>
      <c r="Q133" s="1">
        <v>50</v>
      </c>
      <c r="R133" s="1">
        <v>55</v>
      </c>
      <c r="S133" s="1">
        <f t="shared" si="76"/>
        <v>596</v>
      </c>
      <c r="U133" s="3">
        <f t="shared" si="75"/>
        <v>24</v>
      </c>
      <c r="V133" s="1">
        <v>57</v>
      </c>
      <c r="W133" s="1">
        <v>55</v>
      </c>
      <c r="X133" s="1">
        <v>58</v>
      </c>
      <c r="Y133" s="1">
        <v>0</v>
      </c>
      <c r="Z133" s="1">
        <v>55</v>
      </c>
      <c r="AA133" s="1">
        <v>52</v>
      </c>
      <c r="AB133" s="1">
        <v>54</v>
      </c>
      <c r="AC133" s="1">
        <v>51</v>
      </c>
      <c r="AD133" s="1">
        <v>56</v>
      </c>
      <c r="AE133" s="1">
        <v>53</v>
      </c>
      <c r="AF133" s="1">
        <v>50</v>
      </c>
      <c r="AG133" s="1">
        <v>55</v>
      </c>
      <c r="AH133" s="1">
        <f t="shared" si="77"/>
        <v>596</v>
      </c>
    </row>
    <row r="134" spans="6:34" x14ac:dyDescent="0.45">
      <c r="F134" s="3">
        <f t="shared" si="74"/>
        <v>21</v>
      </c>
      <c r="G134" s="1">
        <v>51</v>
      </c>
      <c r="H134" s="1">
        <v>57</v>
      </c>
      <c r="I134" s="1">
        <v>50</v>
      </c>
      <c r="J134" s="1">
        <v>55</v>
      </c>
      <c r="K134" s="1">
        <v>0</v>
      </c>
      <c r="L134" s="1">
        <v>50</v>
      </c>
      <c r="M134" s="1">
        <v>56</v>
      </c>
      <c r="N134" s="1">
        <v>52</v>
      </c>
      <c r="O134" s="1">
        <v>54</v>
      </c>
      <c r="P134" s="1">
        <v>60</v>
      </c>
      <c r="Q134" s="1">
        <v>54</v>
      </c>
      <c r="R134" s="1">
        <v>51</v>
      </c>
      <c r="S134" s="1">
        <f t="shared" si="76"/>
        <v>590</v>
      </c>
      <c r="U134" s="3">
        <f t="shared" si="75"/>
        <v>21</v>
      </c>
      <c r="V134" s="1">
        <v>51</v>
      </c>
      <c r="W134" s="1">
        <v>57</v>
      </c>
      <c r="X134" s="1">
        <v>50</v>
      </c>
      <c r="Y134" s="1">
        <v>55</v>
      </c>
      <c r="Z134" s="1">
        <v>0</v>
      </c>
      <c r="AA134" s="1">
        <v>50</v>
      </c>
      <c r="AB134" s="1">
        <v>56</v>
      </c>
      <c r="AC134" s="1">
        <v>52</v>
      </c>
      <c r="AD134" s="1">
        <v>54</v>
      </c>
      <c r="AE134" s="1">
        <v>60</v>
      </c>
      <c r="AF134" s="1">
        <v>54</v>
      </c>
      <c r="AG134" s="1">
        <v>51</v>
      </c>
      <c r="AH134" s="1">
        <f t="shared" si="77"/>
        <v>590</v>
      </c>
    </row>
    <row r="135" spans="6:34" x14ac:dyDescent="0.45">
      <c r="F135" s="3">
        <f t="shared" si="74"/>
        <v>42</v>
      </c>
      <c r="G135" s="1">
        <v>59</v>
      </c>
      <c r="H135" s="1">
        <v>54</v>
      </c>
      <c r="I135" s="1">
        <v>60</v>
      </c>
      <c r="J135" s="1">
        <v>52</v>
      </c>
      <c r="K135" s="1">
        <v>50</v>
      </c>
      <c r="L135" s="1">
        <v>0</v>
      </c>
      <c r="M135" s="1">
        <v>50</v>
      </c>
      <c r="N135" s="1">
        <v>56</v>
      </c>
      <c r="O135" s="1">
        <v>60</v>
      </c>
      <c r="P135" s="1">
        <v>59</v>
      </c>
      <c r="Q135" s="1">
        <v>53</v>
      </c>
      <c r="R135" s="1">
        <v>52</v>
      </c>
      <c r="S135" s="1">
        <f t="shared" si="76"/>
        <v>605</v>
      </c>
      <c r="U135" s="3">
        <f t="shared" si="75"/>
        <v>42</v>
      </c>
      <c r="V135" s="1">
        <v>59</v>
      </c>
      <c r="W135" s="1">
        <v>54</v>
      </c>
      <c r="X135" s="1">
        <v>60</v>
      </c>
      <c r="Y135" s="1">
        <v>52</v>
      </c>
      <c r="Z135" s="1">
        <v>50</v>
      </c>
      <c r="AA135" s="1">
        <v>0</v>
      </c>
      <c r="AB135" s="1">
        <v>50</v>
      </c>
      <c r="AC135" s="1">
        <v>56</v>
      </c>
      <c r="AD135" s="1">
        <v>60</v>
      </c>
      <c r="AE135" s="1">
        <v>59</v>
      </c>
      <c r="AF135" s="1">
        <v>53</v>
      </c>
      <c r="AG135" s="1">
        <v>52</v>
      </c>
      <c r="AH135" s="1">
        <f t="shared" si="77"/>
        <v>605</v>
      </c>
    </row>
    <row r="136" spans="6:34" x14ac:dyDescent="0.45">
      <c r="F136" s="3">
        <f t="shared" si="74"/>
        <v>43</v>
      </c>
      <c r="G136" s="1">
        <v>55</v>
      </c>
      <c r="H136" s="1">
        <v>50</v>
      </c>
      <c r="I136" s="1">
        <v>50</v>
      </c>
      <c r="J136" s="1">
        <v>54</v>
      </c>
      <c r="K136" s="1">
        <v>56</v>
      </c>
      <c r="L136" s="1">
        <v>50</v>
      </c>
      <c r="M136" s="1">
        <v>0</v>
      </c>
      <c r="N136" s="1">
        <v>55</v>
      </c>
      <c r="O136" s="1">
        <v>60</v>
      </c>
      <c r="P136" s="1">
        <v>60</v>
      </c>
      <c r="Q136" s="1">
        <v>54</v>
      </c>
      <c r="R136" s="1">
        <v>57</v>
      </c>
      <c r="S136" s="1">
        <f t="shared" si="76"/>
        <v>601</v>
      </c>
      <c r="U136" s="3">
        <f t="shared" si="75"/>
        <v>43</v>
      </c>
      <c r="V136" s="1">
        <v>55</v>
      </c>
      <c r="W136" s="1">
        <v>50</v>
      </c>
      <c r="X136" s="1">
        <v>50</v>
      </c>
      <c r="Y136" s="1">
        <v>54</v>
      </c>
      <c r="Z136" s="1">
        <v>56</v>
      </c>
      <c r="AA136" s="1">
        <v>50</v>
      </c>
      <c r="AB136" s="1">
        <v>0</v>
      </c>
      <c r="AC136" s="1">
        <v>55</v>
      </c>
      <c r="AD136" s="1">
        <v>60</v>
      </c>
      <c r="AE136" s="1">
        <v>60</v>
      </c>
      <c r="AF136" s="1">
        <v>54</v>
      </c>
      <c r="AG136" s="1">
        <v>57</v>
      </c>
      <c r="AH136" s="1">
        <f t="shared" si="77"/>
        <v>601</v>
      </c>
    </row>
    <row r="137" spans="6:34" x14ac:dyDescent="0.45">
      <c r="F137" s="3">
        <f t="shared" si="74"/>
        <v>31</v>
      </c>
      <c r="G137" s="1">
        <v>57</v>
      </c>
      <c r="H137" s="1">
        <v>60</v>
      </c>
      <c r="I137" s="1">
        <v>52</v>
      </c>
      <c r="J137" s="1">
        <v>51</v>
      </c>
      <c r="K137" s="1">
        <v>52</v>
      </c>
      <c r="L137" s="1">
        <v>56</v>
      </c>
      <c r="M137" s="1">
        <v>55</v>
      </c>
      <c r="N137" s="1">
        <v>0</v>
      </c>
      <c r="O137" s="1">
        <v>53</v>
      </c>
      <c r="P137" s="1">
        <v>58</v>
      </c>
      <c r="Q137" s="1">
        <v>55</v>
      </c>
      <c r="R137" s="1">
        <v>58</v>
      </c>
      <c r="S137" s="1">
        <f t="shared" si="76"/>
        <v>607</v>
      </c>
      <c r="U137" s="3">
        <f t="shared" si="75"/>
        <v>31</v>
      </c>
      <c r="V137" s="1">
        <v>57</v>
      </c>
      <c r="W137" s="1">
        <v>60</v>
      </c>
      <c r="X137" s="1">
        <v>52</v>
      </c>
      <c r="Y137" s="1">
        <v>51</v>
      </c>
      <c r="Z137" s="1">
        <v>52</v>
      </c>
      <c r="AA137" s="1">
        <v>56</v>
      </c>
      <c r="AB137" s="1">
        <v>55</v>
      </c>
      <c r="AC137" s="1">
        <v>0</v>
      </c>
      <c r="AD137" s="1">
        <v>53</v>
      </c>
      <c r="AE137" s="1">
        <v>58</v>
      </c>
      <c r="AF137" s="1">
        <v>55</v>
      </c>
      <c r="AG137" s="1">
        <v>58</v>
      </c>
      <c r="AH137" s="1">
        <f t="shared" si="77"/>
        <v>607</v>
      </c>
    </row>
    <row r="138" spans="6:34" x14ac:dyDescent="0.45">
      <c r="F138" s="3">
        <f t="shared" si="74"/>
        <v>33</v>
      </c>
      <c r="G138" s="1">
        <v>52</v>
      </c>
      <c r="H138" s="1">
        <v>51</v>
      </c>
      <c r="I138" s="1">
        <v>52</v>
      </c>
      <c r="J138" s="1">
        <v>56</v>
      </c>
      <c r="K138" s="1">
        <v>54</v>
      </c>
      <c r="L138" s="1">
        <v>60</v>
      </c>
      <c r="M138" s="1">
        <v>60</v>
      </c>
      <c r="N138" s="1">
        <v>53</v>
      </c>
      <c r="O138" s="1">
        <v>0</v>
      </c>
      <c r="P138" s="1">
        <v>58</v>
      </c>
      <c r="Q138" s="1">
        <v>56</v>
      </c>
      <c r="R138" s="1">
        <v>60</v>
      </c>
      <c r="S138" s="1">
        <f t="shared" si="76"/>
        <v>612</v>
      </c>
      <c r="U138" s="3">
        <f t="shared" si="75"/>
        <v>33</v>
      </c>
      <c r="V138" s="1">
        <v>52</v>
      </c>
      <c r="W138" s="1">
        <v>51</v>
      </c>
      <c r="X138" s="1">
        <v>52</v>
      </c>
      <c r="Y138" s="1">
        <v>56</v>
      </c>
      <c r="Z138" s="1">
        <v>54</v>
      </c>
      <c r="AA138" s="1">
        <v>60</v>
      </c>
      <c r="AB138" s="1">
        <v>60</v>
      </c>
      <c r="AC138" s="1">
        <v>53</v>
      </c>
      <c r="AD138" s="1">
        <v>0</v>
      </c>
      <c r="AE138" s="1">
        <v>58</v>
      </c>
      <c r="AF138" s="1">
        <v>56</v>
      </c>
      <c r="AG138" s="1">
        <v>60</v>
      </c>
      <c r="AH138" s="1">
        <f t="shared" si="77"/>
        <v>612</v>
      </c>
    </row>
    <row r="139" spans="6:34" x14ac:dyDescent="0.45">
      <c r="F139" s="3">
        <f t="shared" si="74"/>
        <v>30</v>
      </c>
      <c r="G139" s="1">
        <v>50</v>
      </c>
      <c r="H139" s="1">
        <v>53</v>
      </c>
      <c r="I139" s="1">
        <v>60</v>
      </c>
      <c r="J139" s="1">
        <v>53</v>
      </c>
      <c r="K139" s="1">
        <v>60</v>
      </c>
      <c r="L139" s="1">
        <v>59</v>
      </c>
      <c r="M139" s="1">
        <v>60</v>
      </c>
      <c r="N139" s="1">
        <v>58</v>
      </c>
      <c r="O139" s="1">
        <v>58</v>
      </c>
      <c r="P139" s="1">
        <v>0</v>
      </c>
      <c r="Q139" s="1">
        <v>60</v>
      </c>
      <c r="R139" s="1">
        <v>50</v>
      </c>
      <c r="S139" s="1">
        <f t="shared" si="76"/>
        <v>621</v>
      </c>
      <c r="U139" s="3">
        <f t="shared" si="75"/>
        <v>30</v>
      </c>
      <c r="V139" s="1">
        <v>50</v>
      </c>
      <c r="W139" s="1">
        <v>53</v>
      </c>
      <c r="X139" s="1">
        <v>60</v>
      </c>
      <c r="Y139" s="1">
        <v>53</v>
      </c>
      <c r="Z139" s="1">
        <v>60</v>
      </c>
      <c r="AA139" s="1">
        <v>59</v>
      </c>
      <c r="AB139" s="1">
        <v>60</v>
      </c>
      <c r="AC139" s="1">
        <v>58</v>
      </c>
      <c r="AD139" s="1">
        <v>58</v>
      </c>
      <c r="AE139" s="1">
        <v>0</v>
      </c>
      <c r="AF139" s="1">
        <v>60</v>
      </c>
      <c r="AG139" s="1">
        <v>50</v>
      </c>
      <c r="AH139" s="1">
        <f t="shared" si="77"/>
        <v>621</v>
      </c>
    </row>
    <row r="140" spans="6:34" x14ac:dyDescent="0.45">
      <c r="F140" s="3">
        <f t="shared" si="74"/>
        <v>18</v>
      </c>
      <c r="G140" s="1">
        <v>53</v>
      </c>
      <c r="H140" s="1">
        <v>54</v>
      </c>
      <c r="I140" s="1">
        <v>51</v>
      </c>
      <c r="J140" s="1">
        <v>50</v>
      </c>
      <c r="K140" s="1">
        <v>54</v>
      </c>
      <c r="L140" s="1">
        <v>53</v>
      </c>
      <c r="M140" s="1">
        <v>54</v>
      </c>
      <c r="N140" s="1">
        <v>55</v>
      </c>
      <c r="O140" s="1">
        <v>56</v>
      </c>
      <c r="P140" s="1">
        <v>60</v>
      </c>
      <c r="Q140" s="1">
        <v>0</v>
      </c>
      <c r="R140" s="1">
        <v>59</v>
      </c>
      <c r="S140" s="1">
        <f t="shared" si="76"/>
        <v>599</v>
      </c>
      <c r="U140" s="3">
        <f t="shared" si="75"/>
        <v>18</v>
      </c>
      <c r="V140" s="1">
        <v>53</v>
      </c>
      <c r="W140" s="1">
        <v>54</v>
      </c>
      <c r="X140" s="1">
        <v>51</v>
      </c>
      <c r="Y140" s="1">
        <v>50</v>
      </c>
      <c r="Z140" s="1">
        <v>54</v>
      </c>
      <c r="AA140" s="1">
        <v>53</v>
      </c>
      <c r="AB140" s="1">
        <v>54</v>
      </c>
      <c r="AC140" s="1">
        <v>55</v>
      </c>
      <c r="AD140" s="1">
        <v>56</v>
      </c>
      <c r="AE140" s="1">
        <v>60</v>
      </c>
      <c r="AF140" s="1">
        <v>0</v>
      </c>
      <c r="AG140" s="1">
        <v>59</v>
      </c>
      <c r="AH140" s="1">
        <f t="shared" si="77"/>
        <v>599</v>
      </c>
    </row>
    <row r="141" spans="6:34" x14ac:dyDescent="0.45">
      <c r="F141" s="3">
        <f t="shared" si="74"/>
        <v>40</v>
      </c>
      <c r="G141" s="1">
        <v>59</v>
      </c>
      <c r="H141" s="1">
        <v>57</v>
      </c>
      <c r="I141" s="1">
        <v>55</v>
      </c>
      <c r="J141" s="1">
        <v>55</v>
      </c>
      <c r="K141" s="1">
        <v>51</v>
      </c>
      <c r="L141" s="1">
        <v>52</v>
      </c>
      <c r="M141" s="1">
        <v>57</v>
      </c>
      <c r="N141" s="1">
        <v>58</v>
      </c>
      <c r="O141" s="1">
        <v>60</v>
      </c>
      <c r="P141" s="1">
        <v>50</v>
      </c>
      <c r="Q141" s="1">
        <v>59</v>
      </c>
      <c r="R141" s="1">
        <v>0</v>
      </c>
      <c r="S141" s="1">
        <f t="shared" si="76"/>
        <v>613</v>
      </c>
      <c r="U141" s="3">
        <f t="shared" si="75"/>
        <v>40</v>
      </c>
      <c r="V141" s="1">
        <v>59</v>
      </c>
      <c r="W141" s="1">
        <v>57</v>
      </c>
      <c r="X141" s="1">
        <v>55</v>
      </c>
      <c r="Y141" s="1">
        <v>55</v>
      </c>
      <c r="Z141" s="1">
        <v>51</v>
      </c>
      <c r="AA141" s="1">
        <v>52</v>
      </c>
      <c r="AB141" s="1">
        <v>57</v>
      </c>
      <c r="AC141" s="1">
        <v>58</v>
      </c>
      <c r="AD141" s="1">
        <v>60</v>
      </c>
      <c r="AE141" s="1">
        <v>50</v>
      </c>
      <c r="AF141" s="1">
        <v>59</v>
      </c>
      <c r="AG141" s="1">
        <v>0</v>
      </c>
      <c r="AH141" s="1">
        <f t="shared" si="77"/>
        <v>613</v>
      </c>
    </row>
    <row r="142" spans="6:34" x14ac:dyDescent="0.45">
      <c r="F142" s="3" t="s">
        <v>329</v>
      </c>
      <c r="G142" s="1">
        <f>SUM(G130:G141)</f>
        <v>609</v>
      </c>
      <c r="H142" s="1">
        <f t="shared" ref="H142:R142" si="78">SUM(H130:H141)</f>
        <v>598</v>
      </c>
      <c r="I142" s="1">
        <f t="shared" si="78"/>
        <v>599</v>
      </c>
      <c r="J142" s="1">
        <f t="shared" si="78"/>
        <v>596</v>
      </c>
      <c r="K142" s="1">
        <f t="shared" si="78"/>
        <v>590</v>
      </c>
      <c r="L142" s="1">
        <f t="shared" si="78"/>
        <v>605</v>
      </c>
      <c r="M142" s="1">
        <f t="shared" si="78"/>
        <v>601</v>
      </c>
      <c r="N142" s="1">
        <f t="shared" si="78"/>
        <v>607</v>
      </c>
      <c r="O142" s="1">
        <f t="shared" si="78"/>
        <v>612</v>
      </c>
      <c r="P142" s="1">
        <f t="shared" si="78"/>
        <v>621</v>
      </c>
      <c r="Q142" s="1">
        <f t="shared" si="78"/>
        <v>599</v>
      </c>
      <c r="R142" s="1">
        <f t="shared" si="78"/>
        <v>613</v>
      </c>
      <c r="S142" s="1">
        <f t="shared" si="76"/>
        <v>7250</v>
      </c>
      <c r="U142" s="3" t="s">
        <v>329</v>
      </c>
      <c r="V142" s="1">
        <f>SUM(V130:V141)</f>
        <v>609</v>
      </c>
      <c r="W142" s="1">
        <f t="shared" ref="W142:AG142" si="79">SUM(W130:W141)</f>
        <v>598</v>
      </c>
      <c r="X142" s="1">
        <f t="shared" si="79"/>
        <v>599</v>
      </c>
      <c r="Y142" s="1">
        <f t="shared" si="79"/>
        <v>596</v>
      </c>
      <c r="Z142" s="1">
        <f t="shared" si="79"/>
        <v>590</v>
      </c>
      <c r="AA142" s="1">
        <f t="shared" si="79"/>
        <v>605</v>
      </c>
      <c r="AB142" s="1">
        <f t="shared" si="79"/>
        <v>601</v>
      </c>
      <c r="AC142" s="1">
        <f t="shared" si="79"/>
        <v>607</v>
      </c>
      <c r="AD142" s="1">
        <f t="shared" si="79"/>
        <v>612</v>
      </c>
      <c r="AE142" s="1">
        <f t="shared" si="79"/>
        <v>621</v>
      </c>
      <c r="AF142" s="1">
        <f t="shared" si="79"/>
        <v>599</v>
      </c>
      <c r="AG142" s="1">
        <f t="shared" si="79"/>
        <v>613</v>
      </c>
      <c r="AH142" s="1">
        <f t="shared" si="77"/>
        <v>7250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SClearMods">
                <anchor moveWithCells="1" sizeWithCells="1">
                  <from>
                    <xdr:col>0</xdr:col>
                    <xdr:colOff>0</xdr:colOff>
                    <xdr:row>32</xdr:row>
                    <xdr:rowOff>14288</xdr:rowOff>
                  </from>
                  <to>
                    <xdr:col>3</xdr:col>
                    <xdr:colOff>395288</xdr:colOff>
                    <xdr:row>34</xdr:row>
                    <xdr:rowOff>152400</xdr:rowOff>
                  </to>
                </anchor>
              </controlPr>
            </control>
          </mc:Choice>
        </mc:AlternateContent>
        <mc:AlternateContent xmlns:mc="http://schemas.openxmlformats.org/markup-compatibility/2006">
          <mc:Choice Requires="x14">
            <control shapeId="5122" r:id="rId4" name="Button 2">
              <controlPr defaultSize="0" print="0" autoFill="0" autoPict="0" macro="[0]!SRandomMods">
                <anchor moveWithCells="1" sizeWithCells="1">
                  <from>
                    <xdr:col>0</xdr:col>
                    <xdr:colOff>0</xdr:colOff>
                    <xdr:row>36</xdr:row>
                    <xdr:rowOff>14288</xdr:rowOff>
                  </from>
                  <to>
                    <xdr:col>3</xdr:col>
                    <xdr:colOff>381000</xdr:colOff>
                    <xdr:row>38</xdr:row>
                    <xdr:rowOff>157163</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C214B-566D-4F0A-A08B-AB1A10147CF1}">
  <sheetPr codeName="Factors"/>
  <dimension ref="A1:R43"/>
  <sheetViews>
    <sheetView zoomScale="90" zoomScaleNormal="90" workbookViewId="0">
      <selection activeCell="S13" sqref="S13"/>
    </sheetView>
  </sheetViews>
  <sheetFormatPr defaultColWidth="8.73046875" defaultRowHeight="14.25" x14ac:dyDescent="0.45"/>
  <cols>
    <col min="1" max="1" width="10.33203125" style="1" bestFit="1" customWidth="1"/>
    <col min="2" max="2" width="9.59765625" style="1" bestFit="1" customWidth="1"/>
    <col min="3" max="3" width="6.53125" style="1" bestFit="1" customWidth="1"/>
    <col min="4" max="4" width="5.73046875" style="1" bestFit="1" customWidth="1"/>
    <col min="5" max="5" width="8.73046875" style="1"/>
    <col min="6" max="6" width="6.9296875" style="1" bestFit="1" customWidth="1"/>
    <col min="7" max="18" width="4.73046875" style="1" bestFit="1" customWidth="1"/>
    <col min="19" max="16384" width="8.73046875" style="1"/>
  </cols>
  <sheetData>
    <row r="1" spans="1:18" x14ac:dyDescent="0.45">
      <c r="A1" s="4" t="s">
        <v>295</v>
      </c>
      <c r="B1" s="4" t="s">
        <v>296</v>
      </c>
      <c r="C1" s="4" t="s">
        <v>297</v>
      </c>
      <c r="D1" s="4" t="s">
        <v>298</v>
      </c>
      <c r="F1" s="4" t="s">
        <v>221</v>
      </c>
      <c r="G1" s="3">
        <f>NetNum!T2</f>
        <v>9</v>
      </c>
      <c r="H1" s="3">
        <f>NetNum!T3</f>
        <v>12</v>
      </c>
      <c r="I1" s="3">
        <f>NetNum!T4</f>
        <v>29</v>
      </c>
      <c r="J1" s="3">
        <f>NetNum!T5</f>
        <v>24</v>
      </c>
      <c r="K1" s="3">
        <f>NetNum!T6</f>
        <v>21</v>
      </c>
      <c r="L1" s="3">
        <f>NetNum!T7</f>
        <v>42</v>
      </c>
      <c r="M1" s="3">
        <f>NetNum!T8</f>
        <v>43</v>
      </c>
      <c r="N1" s="3">
        <f>NetNum!T9</f>
        <v>31</v>
      </c>
      <c r="O1" s="3">
        <f>NetNum!T10</f>
        <v>33</v>
      </c>
      <c r="P1" s="3">
        <f>NetNum!T11</f>
        <v>30</v>
      </c>
      <c r="Q1" s="3">
        <f>NetNum!T12</f>
        <v>18</v>
      </c>
      <c r="R1" s="3">
        <f>NetNum!T13</f>
        <v>40</v>
      </c>
    </row>
    <row r="2" spans="1:18" x14ac:dyDescent="0.45">
      <c r="A2" s="5" t="s">
        <v>221</v>
      </c>
      <c r="B2" s="1" t="s">
        <v>17</v>
      </c>
      <c r="C2" s="1" t="s">
        <v>299</v>
      </c>
      <c r="F2" s="3">
        <f>NetNum!T2</f>
        <v>9</v>
      </c>
      <c r="G2" s="15">
        <v>0</v>
      </c>
      <c r="H2" s="15">
        <v>0.25</v>
      </c>
      <c r="I2" s="15">
        <v>0.21</v>
      </c>
      <c r="J2" s="15">
        <v>0.21</v>
      </c>
      <c r="K2" s="15">
        <v>0.24</v>
      </c>
      <c r="L2" s="15">
        <v>0.23</v>
      </c>
      <c r="M2" s="15">
        <v>0.22</v>
      </c>
      <c r="N2" s="15">
        <v>0.21</v>
      </c>
      <c r="O2" s="15">
        <v>0.24</v>
      </c>
      <c r="P2" s="15">
        <v>0.2</v>
      </c>
      <c r="Q2" s="15">
        <v>0.24</v>
      </c>
      <c r="R2" s="15">
        <v>0.22</v>
      </c>
    </row>
    <row r="3" spans="1:18" x14ac:dyDescent="0.45">
      <c r="A3" s="5" t="s">
        <v>223</v>
      </c>
      <c r="B3" s="1" t="s">
        <v>17</v>
      </c>
      <c r="C3" s="1" t="s">
        <v>300</v>
      </c>
      <c r="F3" s="3">
        <f>NetNum!T3</f>
        <v>12</v>
      </c>
      <c r="G3" s="15">
        <v>0.25</v>
      </c>
      <c r="H3" s="15">
        <v>0</v>
      </c>
      <c r="I3" s="15">
        <v>0.23</v>
      </c>
      <c r="J3" s="15">
        <v>0.24</v>
      </c>
      <c r="K3" s="15">
        <v>0.24</v>
      </c>
      <c r="L3" s="15">
        <v>0.25</v>
      </c>
      <c r="M3" s="15">
        <v>0.22</v>
      </c>
      <c r="N3" s="15">
        <v>0.2</v>
      </c>
      <c r="O3" s="15">
        <v>0.23</v>
      </c>
      <c r="P3" s="15">
        <v>0.24</v>
      </c>
      <c r="Q3" s="15">
        <v>0.22</v>
      </c>
      <c r="R3" s="15">
        <v>0.21</v>
      </c>
    </row>
    <row r="4" spans="1:18" x14ac:dyDescent="0.45">
      <c r="A4" s="5" t="s">
        <v>225</v>
      </c>
      <c r="B4" s="1" t="s">
        <v>17</v>
      </c>
      <c r="C4" s="1" t="s">
        <v>301</v>
      </c>
      <c r="F4" s="3">
        <f>NetNum!T4</f>
        <v>29</v>
      </c>
      <c r="G4" s="15">
        <v>0.21</v>
      </c>
      <c r="H4" s="15">
        <v>0.23</v>
      </c>
      <c r="I4" s="15">
        <v>0</v>
      </c>
      <c r="J4" s="15">
        <v>0.25</v>
      </c>
      <c r="K4" s="15">
        <v>0.21</v>
      </c>
      <c r="L4" s="15">
        <v>0.2</v>
      </c>
      <c r="M4" s="15">
        <v>0.24</v>
      </c>
      <c r="N4" s="15">
        <v>0.23</v>
      </c>
      <c r="O4" s="15">
        <v>0.22</v>
      </c>
      <c r="P4" s="15">
        <v>0.24</v>
      </c>
      <c r="Q4" s="15">
        <v>0.23</v>
      </c>
      <c r="R4" s="15">
        <v>0.25</v>
      </c>
    </row>
    <row r="5" spans="1:18" x14ac:dyDescent="0.45">
      <c r="A5" s="5" t="s">
        <v>227</v>
      </c>
      <c r="B5" s="1" t="s">
        <v>326</v>
      </c>
      <c r="C5" s="1" t="s">
        <v>327</v>
      </c>
      <c r="D5" s="1">
        <v>25</v>
      </c>
      <c r="F5" s="3">
        <f>NetNum!T5</f>
        <v>24</v>
      </c>
      <c r="G5" s="15">
        <v>0.21</v>
      </c>
      <c r="H5" s="15">
        <v>0.24</v>
      </c>
      <c r="I5" s="15">
        <v>0.25</v>
      </c>
      <c r="J5" s="15">
        <v>0</v>
      </c>
      <c r="K5" s="15">
        <v>0.21</v>
      </c>
      <c r="L5" s="15">
        <v>0.23</v>
      </c>
      <c r="M5" s="15">
        <v>0.25</v>
      </c>
      <c r="N5" s="15">
        <v>0.25</v>
      </c>
      <c r="O5" s="15">
        <v>0.2</v>
      </c>
      <c r="P5" s="15">
        <v>0.2</v>
      </c>
      <c r="Q5" s="15">
        <v>0.24</v>
      </c>
      <c r="R5" s="15">
        <v>0.23</v>
      </c>
    </row>
    <row r="6" spans="1:18" x14ac:dyDescent="0.45">
      <c r="A6" s="5" t="s">
        <v>229</v>
      </c>
      <c r="B6" s="1" t="s">
        <v>326</v>
      </c>
      <c r="C6" s="1" t="s">
        <v>328</v>
      </c>
      <c r="D6" s="1">
        <v>20</v>
      </c>
      <c r="F6" s="3">
        <f>NetNum!T6</f>
        <v>21</v>
      </c>
      <c r="G6" s="15">
        <v>0.24</v>
      </c>
      <c r="H6" s="15">
        <v>0.24</v>
      </c>
      <c r="I6" s="15">
        <v>0.21</v>
      </c>
      <c r="J6" s="15">
        <v>0.21</v>
      </c>
      <c r="K6" s="15">
        <v>0</v>
      </c>
      <c r="L6" s="15">
        <v>0.24</v>
      </c>
      <c r="M6" s="15">
        <v>0.25</v>
      </c>
      <c r="N6" s="15">
        <v>0.22</v>
      </c>
      <c r="O6" s="15">
        <v>0.22</v>
      </c>
      <c r="P6" s="15">
        <v>0.22</v>
      </c>
      <c r="Q6" s="15">
        <v>0.25</v>
      </c>
      <c r="R6" s="15">
        <v>0.2</v>
      </c>
    </row>
    <row r="7" spans="1:18" x14ac:dyDescent="0.45">
      <c r="A7" s="5" t="s">
        <v>231</v>
      </c>
      <c r="B7" s="1" t="s">
        <v>326</v>
      </c>
      <c r="C7" s="1" t="s">
        <v>341</v>
      </c>
      <c r="D7" s="1">
        <v>3</v>
      </c>
      <c r="F7" s="3">
        <f>NetNum!T7</f>
        <v>42</v>
      </c>
      <c r="G7" s="15">
        <v>0.23</v>
      </c>
      <c r="H7" s="15">
        <v>0.25</v>
      </c>
      <c r="I7" s="15">
        <v>0.2</v>
      </c>
      <c r="J7" s="15">
        <v>0.23</v>
      </c>
      <c r="K7" s="15">
        <v>0.24</v>
      </c>
      <c r="L7" s="15">
        <v>0</v>
      </c>
      <c r="M7" s="15">
        <v>0.23</v>
      </c>
      <c r="N7" s="15">
        <v>0.23</v>
      </c>
      <c r="O7" s="15">
        <v>0.2</v>
      </c>
      <c r="P7" s="15">
        <v>0.21</v>
      </c>
      <c r="Q7" s="15">
        <v>0.2</v>
      </c>
      <c r="R7" s="15">
        <v>0.23</v>
      </c>
    </row>
    <row r="8" spans="1:18" x14ac:dyDescent="0.45">
      <c r="A8" s="5" t="s">
        <v>233</v>
      </c>
      <c r="B8" s="1" t="s">
        <v>326</v>
      </c>
      <c r="C8" s="1" t="s">
        <v>342</v>
      </c>
      <c r="D8" s="1">
        <v>1</v>
      </c>
      <c r="F8" s="3">
        <f>NetNum!T8</f>
        <v>43</v>
      </c>
      <c r="G8" s="15">
        <v>0.22</v>
      </c>
      <c r="H8" s="15">
        <v>0.22</v>
      </c>
      <c r="I8" s="15">
        <v>0.24</v>
      </c>
      <c r="J8" s="15">
        <v>0.25</v>
      </c>
      <c r="K8" s="15">
        <v>0.25</v>
      </c>
      <c r="L8" s="15">
        <v>0.23</v>
      </c>
      <c r="M8" s="15">
        <v>0</v>
      </c>
      <c r="N8" s="15">
        <v>0.25</v>
      </c>
      <c r="O8" s="15">
        <v>0.21</v>
      </c>
      <c r="P8" s="15">
        <v>0.2</v>
      </c>
      <c r="Q8" s="15">
        <v>0.23</v>
      </c>
      <c r="R8" s="15">
        <v>0.23</v>
      </c>
    </row>
    <row r="9" spans="1:18" x14ac:dyDescent="0.45">
      <c r="A9" s="5" t="s">
        <v>235</v>
      </c>
      <c r="B9" s="1" t="s">
        <v>326</v>
      </c>
      <c r="C9" s="1" t="s">
        <v>343</v>
      </c>
      <c r="D9" s="1">
        <v>30</v>
      </c>
      <c r="F9" s="3">
        <f>NetNum!T9</f>
        <v>31</v>
      </c>
      <c r="G9" s="15">
        <v>0.21</v>
      </c>
      <c r="H9" s="15">
        <v>0.2</v>
      </c>
      <c r="I9" s="15">
        <v>0.23</v>
      </c>
      <c r="J9" s="15">
        <v>0.25</v>
      </c>
      <c r="K9" s="15">
        <v>0.22</v>
      </c>
      <c r="L9" s="15">
        <v>0.23</v>
      </c>
      <c r="M9" s="15">
        <v>0.25</v>
      </c>
      <c r="N9" s="15">
        <v>0</v>
      </c>
      <c r="O9" s="15">
        <v>0.21</v>
      </c>
      <c r="P9" s="15">
        <v>0.21</v>
      </c>
      <c r="Q9" s="15">
        <v>0.23</v>
      </c>
      <c r="R9" s="15">
        <v>0.2</v>
      </c>
    </row>
    <row r="10" spans="1:18" x14ac:dyDescent="0.45">
      <c r="A10" s="5" t="s">
        <v>237</v>
      </c>
      <c r="B10" s="1" t="s">
        <v>326</v>
      </c>
      <c r="C10" s="1" t="s">
        <v>344</v>
      </c>
      <c r="D10" s="1">
        <v>5</v>
      </c>
      <c r="F10" s="3">
        <f>NetNum!T10</f>
        <v>33</v>
      </c>
      <c r="G10" s="15">
        <v>0.24</v>
      </c>
      <c r="H10" s="15">
        <v>0.23</v>
      </c>
      <c r="I10" s="15">
        <v>0.22</v>
      </c>
      <c r="J10" s="15">
        <v>0.2</v>
      </c>
      <c r="K10" s="15">
        <v>0.22</v>
      </c>
      <c r="L10" s="15">
        <v>0.2</v>
      </c>
      <c r="M10" s="15">
        <v>0.21</v>
      </c>
      <c r="N10" s="15">
        <v>0.21</v>
      </c>
      <c r="O10" s="15">
        <v>0</v>
      </c>
      <c r="P10" s="15">
        <v>0.24</v>
      </c>
      <c r="Q10" s="15">
        <v>0.2</v>
      </c>
      <c r="R10" s="15">
        <v>0.24</v>
      </c>
    </row>
    <row r="11" spans="1:18" x14ac:dyDescent="0.45">
      <c r="A11" s="5" t="s">
        <v>239</v>
      </c>
      <c r="B11" s="1" t="s">
        <v>22</v>
      </c>
      <c r="C11" s="1" t="s">
        <v>320</v>
      </c>
      <c r="D11" s="1">
        <v>1</v>
      </c>
      <c r="F11" s="3">
        <f>NetNum!T11</f>
        <v>30</v>
      </c>
      <c r="G11" s="15">
        <v>0.2</v>
      </c>
      <c r="H11" s="15">
        <v>0.24</v>
      </c>
      <c r="I11" s="15">
        <v>0.24</v>
      </c>
      <c r="J11" s="15">
        <v>0.2</v>
      </c>
      <c r="K11" s="15">
        <v>0.22</v>
      </c>
      <c r="L11" s="15">
        <v>0.21</v>
      </c>
      <c r="M11" s="15">
        <v>0.2</v>
      </c>
      <c r="N11" s="15">
        <v>0.21</v>
      </c>
      <c r="O11" s="15">
        <v>0.24</v>
      </c>
      <c r="P11" s="15">
        <v>0</v>
      </c>
      <c r="Q11" s="15">
        <v>0.24</v>
      </c>
      <c r="R11" s="15">
        <v>0.21</v>
      </c>
    </row>
    <row r="12" spans="1:18" x14ac:dyDescent="0.45">
      <c r="A12" s="5" t="s">
        <v>241</v>
      </c>
      <c r="B12" s="1" t="s">
        <v>22</v>
      </c>
      <c r="C12" s="1" t="s">
        <v>321</v>
      </c>
      <c r="D12" s="1">
        <v>4</v>
      </c>
      <c r="F12" s="3">
        <f>NetNum!T12</f>
        <v>18</v>
      </c>
      <c r="G12" s="15">
        <v>0.24</v>
      </c>
      <c r="H12" s="15">
        <v>0.22</v>
      </c>
      <c r="I12" s="15">
        <v>0.23</v>
      </c>
      <c r="J12" s="15">
        <v>0.24</v>
      </c>
      <c r="K12" s="15">
        <v>0.25</v>
      </c>
      <c r="L12" s="15">
        <v>0.2</v>
      </c>
      <c r="M12" s="15">
        <v>0.23</v>
      </c>
      <c r="N12" s="15">
        <v>0.23</v>
      </c>
      <c r="O12" s="15">
        <v>0.2</v>
      </c>
      <c r="P12" s="15">
        <v>0.24</v>
      </c>
      <c r="Q12" s="15">
        <v>0</v>
      </c>
      <c r="R12" s="15">
        <v>0.23</v>
      </c>
    </row>
    <row r="13" spans="1:18" x14ac:dyDescent="0.45">
      <c r="F13" s="3">
        <f>NetNum!T13</f>
        <v>40</v>
      </c>
      <c r="G13" s="15">
        <v>0.22</v>
      </c>
      <c r="H13" s="15">
        <v>0.21</v>
      </c>
      <c r="I13" s="15">
        <v>0.25</v>
      </c>
      <c r="J13" s="15">
        <v>0.23</v>
      </c>
      <c r="K13" s="15">
        <v>0.2</v>
      </c>
      <c r="L13" s="15">
        <v>0.23</v>
      </c>
      <c r="M13" s="15">
        <v>0.23</v>
      </c>
      <c r="N13" s="15">
        <v>0.2</v>
      </c>
      <c r="O13" s="15">
        <v>0.24</v>
      </c>
      <c r="P13" s="15">
        <v>0.21</v>
      </c>
      <c r="Q13" s="15">
        <v>0.23</v>
      </c>
      <c r="R13" s="15">
        <v>0</v>
      </c>
    </row>
    <row r="16" spans="1:18" x14ac:dyDescent="0.45">
      <c r="F16" s="4" t="s">
        <v>223</v>
      </c>
      <c r="G16" s="3">
        <f t="shared" ref="G16:R16" si="0">G1</f>
        <v>9</v>
      </c>
      <c r="H16" s="3">
        <f t="shared" si="0"/>
        <v>12</v>
      </c>
      <c r="I16" s="3">
        <f t="shared" si="0"/>
        <v>29</v>
      </c>
      <c r="J16" s="3">
        <f t="shared" si="0"/>
        <v>24</v>
      </c>
      <c r="K16" s="3">
        <f t="shared" si="0"/>
        <v>21</v>
      </c>
      <c r="L16" s="3">
        <f t="shared" si="0"/>
        <v>42</v>
      </c>
      <c r="M16" s="3">
        <f t="shared" si="0"/>
        <v>43</v>
      </c>
      <c r="N16" s="3">
        <f t="shared" si="0"/>
        <v>31</v>
      </c>
      <c r="O16" s="3">
        <f t="shared" si="0"/>
        <v>33</v>
      </c>
      <c r="P16" s="3">
        <f t="shared" si="0"/>
        <v>30</v>
      </c>
      <c r="Q16" s="3">
        <f t="shared" si="0"/>
        <v>18</v>
      </c>
      <c r="R16" s="3">
        <f t="shared" si="0"/>
        <v>40</v>
      </c>
    </row>
    <row r="17" spans="6:18" x14ac:dyDescent="0.45">
      <c r="F17" s="3">
        <f t="shared" ref="F17:F28" si="1">F2</f>
        <v>9</v>
      </c>
      <c r="G17" s="15">
        <v>0</v>
      </c>
      <c r="H17" s="15">
        <v>2.5</v>
      </c>
      <c r="I17" s="15">
        <v>2.9</v>
      </c>
      <c r="J17" s="15">
        <v>2</v>
      </c>
      <c r="K17" s="15">
        <v>2.1</v>
      </c>
      <c r="L17" s="15">
        <v>2.5</v>
      </c>
      <c r="M17" s="15">
        <v>1.1000000000000001</v>
      </c>
      <c r="N17" s="15">
        <v>2.2000000000000002</v>
      </c>
      <c r="O17" s="15">
        <v>2.9</v>
      </c>
      <c r="P17" s="15">
        <v>1.7</v>
      </c>
      <c r="Q17" s="15">
        <v>1.5</v>
      </c>
      <c r="R17" s="15">
        <v>1.4</v>
      </c>
    </row>
    <row r="18" spans="6:18" x14ac:dyDescent="0.45">
      <c r="F18" s="3">
        <f t="shared" si="1"/>
        <v>12</v>
      </c>
      <c r="G18" s="15">
        <v>2.5</v>
      </c>
      <c r="H18" s="15">
        <v>0</v>
      </c>
      <c r="I18" s="15">
        <v>1.8</v>
      </c>
      <c r="J18" s="15">
        <v>1.9</v>
      </c>
      <c r="K18" s="15">
        <v>2.2000000000000002</v>
      </c>
      <c r="L18" s="15">
        <v>1.4</v>
      </c>
      <c r="M18" s="15">
        <v>1.5</v>
      </c>
      <c r="N18" s="15">
        <v>1.7</v>
      </c>
      <c r="O18" s="15">
        <v>2.2000000000000002</v>
      </c>
      <c r="P18" s="15">
        <v>1.4</v>
      </c>
      <c r="Q18" s="15">
        <v>1.3</v>
      </c>
      <c r="R18" s="15">
        <v>3</v>
      </c>
    </row>
    <row r="19" spans="6:18" x14ac:dyDescent="0.45">
      <c r="F19" s="3">
        <f t="shared" si="1"/>
        <v>29</v>
      </c>
      <c r="G19" s="15">
        <v>2.9</v>
      </c>
      <c r="H19" s="15">
        <v>1.8</v>
      </c>
      <c r="I19" s="15">
        <v>0</v>
      </c>
      <c r="J19" s="15">
        <v>1.6</v>
      </c>
      <c r="K19" s="15">
        <v>3</v>
      </c>
      <c r="L19" s="15">
        <v>1.4</v>
      </c>
      <c r="M19" s="15">
        <v>1.5</v>
      </c>
      <c r="N19" s="15">
        <v>1.9</v>
      </c>
      <c r="O19" s="15">
        <v>1</v>
      </c>
      <c r="P19" s="15">
        <v>1.5</v>
      </c>
      <c r="Q19" s="15">
        <v>1</v>
      </c>
      <c r="R19" s="15">
        <v>2</v>
      </c>
    </row>
    <row r="20" spans="6:18" x14ac:dyDescent="0.45">
      <c r="F20" s="3">
        <f t="shared" si="1"/>
        <v>24</v>
      </c>
      <c r="G20" s="15">
        <v>2</v>
      </c>
      <c r="H20" s="15">
        <v>1.9</v>
      </c>
      <c r="I20" s="15">
        <v>1.6</v>
      </c>
      <c r="J20" s="15">
        <v>0</v>
      </c>
      <c r="K20" s="15">
        <v>3</v>
      </c>
      <c r="L20" s="15">
        <v>2.9</v>
      </c>
      <c r="M20" s="15">
        <v>1</v>
      </c>
      <c r="N20" s="15">
        <v>2.4</v>
      </c>
      <c r="O20" s="15">
        <v>1.8</v>
      </c>
      <c r="P20" s="15">
        <v>1.1000000000000001</v>
      </c>
      <c r="Q20" s="15">
        <v>1.6</v>
      </c>
      <c r="R20" s="15">
        <v>2</v>
      </c>
    </row>
    <row r="21" spans="6:18" x14ac:dyDescent="0.45">
      <c r="F21" s="3">
        <f t="shared" si="1"/>
        <v>21</v>
      </c>
      <c r="G21" s="15">
        <v>2.1</v>
      </c>
      <c r="H21" s="15">
        <v>2.2000000000000002</v>
      </c>
      <c r="I21" s="15">
        <v>3</v>
      </c>
      <c r="J21" s="15">
        <v>3</v>
      </c>
      <c r="K21" s="15">
        <v>0</v>
      </c>
      <c r="L21" s="15">
        <v>2.5</v>
      </c>
      <c r="M21" s="15">
        <v>1.7</v>
      </c>
      <c r="N21" s="15">
        <v>2.5</v>
      </c>
      <c r="O21" s="15">
        <v>2.9</v>
      </c>
      <c r="P21" s="15">
        <v>1.1000000000000001</v>
      </c>
      <c r="Q21" s="15">
        <v>1.6</v>
      </c>
      <c r="R21" s="15">
        <v>1.5</v>
      </c>
    </row>
    <row r="22" spans="6:18" x14ac:dyDescent="0.45">
      <c r="F22" s="3">
        <f t="shared" si="1"/>
        <v>42</v>
      </c>
      <c r="G22" s="15">
        <v>2.5</v>
      </c>
      <c r="H22" s="15">
        <v>1.4</v>
      </c>
      <c r="I22" s="15">
        <v>1.4</v>
      </c>
      <c r="J22" s="15">
        <v>2.9</v>
      </c>
      <c r="K22" s="15">
        <v>2.5</v>
      </c>
      <c r="L22" s="15">
        <v>0</v>
      </c>
      <c r="M22" s="15">
        <v>2</v>
      </c>
      <c r="N22" s="15">
        <v>1.9</v>
      </c>
      <c r="O22" s="15">
        <v>1</v>
      </c>
      <c r="P22" s="15">
        <v>2.4</v>
      </c>
      <c r="Q22" s="15">
        <v>1.1000000000000001</v>
      </c>
      <c r="R22" s="15">
        <v>1.6</v>
      </c>
    </row>
    <row r="23" spans="6:18" x14ac:dyDescent="0.45">
      <c r="F23" s="3">
        <f t="shared" si="1"/>
        <v>43</v>
      </c>
      <c r="G23" s="15">
        <v>1.1000000000000001</v>
      </c>
      <c r="H23" s="15">
        <v>1.5</v>
      </c>
      <c r="I23" s="15">
        <v>1.5</v>
      </c>
      <c r="J23" s="15">
        <v>1</v>
      </c>
      <c r="K23" s="15">
        <v>1.7</v>
      </c>
      <c r="L23" s="15">
        <v>2</v>
      </c>
      <c r="M23" s="15">
        <v>0</v>
      </c>
      <c r="N23" s="15">
        <v>1.9</v>
      </c>
      <c r="O23" s="15">
        <v>1.3</v>
      </c>
      <c r="P23" s="15">
        <v>2.2999999999999998</v>
      </c>
      <c r="Q23" s="15">
        <v>2.4</v>
      </c>
      <c r="R23" s="15">
        <v>2.8</v>
      </c>
    </row>
    <row r="24" spans="6:18" x14ac:dyDescent="0.45">
      <c r="F24" s="3">
        <f t="shared" si="1"/>
        <v>31</v>
      </c>
      <c r="G24" s="15">
        <v>2.2000000000000002</v>
      </c>
      <c r="H24" s="15">
        <v>1.7</v>
      </c>
      <c r="I24" s="15">
        <v>1.9</v>
      </c>
      <c r="J24" s="15">
        <v>2.4</v>
      </c>
      <c r="K24" s="15">
        <v>2.5</v>
      </c>
      <c r="L24" s="15">
        <v>1.9</v>
      </c>
      <c r="M24" s="15">
        <v>1.9</v>
      </c>
      <c r="N24" s="15">
        <v>0</v>
      </c>
      <c r="O24" s="15">
        <v>1.1000000000000001</v>
      </c>
      <c r="P24" s="15">
        <v>2.4</v>
      </c>
      <c r="Q24" s="15">
        <v>1.7</v>
      </c>
      <c r="R24" s="15">
        <v>1.5</v>
      </c>
    </row>
    <row r="25" spans="6:18" x14ac:dyDescent="0.45">
      <c r="F25" s="3">
        <f t="shared" si="1"/>
        <v>33</v>
      </c>
      <c r="G25" s="15">
        <v>2.9</v>
      </c>
      <c r="H25" s="15">
        <v>2.2000000000000002</v>
      </c>
      <c r="I25" s="15">
        <v>1</v>
      </c>
      <c r="J25" s="15">
        <v>1.8</v>
      </c>
      <c r="K25" s="15">
        <v>2.9</v>
      </c>
      <c r="L25" s="15">
        <v>1</v>
      </c>
      <c r="M25" s="15">
        <v>1.3</v>
      </c>
      <c r="N25" s="15">
        <v>1.1000000000000001</v>
      </c>
      <c r="O25" s="15">
        <v>0</v>
      </c>
      <c r="P25" s="15">
        <v>1.5</v>
      </c>
      <c r="Q25" s="15">
        <v>1.5</v>
      </c>
      <c r="R25" s="15">
        <v>1.9</v>
      </c>
    </row>
    <row r="26" spans="6:18" x14ac:dyDescent="0.45">
      <c r="F26" s="3">
        <f t="shared" si="1"/>
        <v>30</v>
      </c>
      <c r="G26" s="15">
        <v>1.7</v>
      </c>
      <c r="H26" s="15">
        <v>1.4</v>
      </c>
      <c r="I26" s="15">
        <v>1.5</v>
      </c>
      <c r="J26" s="15">
        <v>1.1000000000000001</v>
      </c>
      <c r="K26" s="15">
        <v>1.1000000000000001</v>
      </c>
      <c r="L26" s="15">
        <v>2.4</v>
      </c>
      <c r="M26" s="15">
        <v>2.2999999999999998</v>
      </c>
      <c r="N26" s="15">
        <v>2.4</v>
      </c>
      <c r="O26" s="15">
        <v>1.5</v>
      </c>
      <c r="P26" s="15">
        <v>0</v>
      </c>
      <c r="Q26" s="15">
        <v>2</v>
      </c>
      <c r="R26" s="15">
        <v>1.5</v>
      </c>
    </row>
    <row r="27" spans="6:18" x14ac:dyDescent="0.45">
      <c r="F27" s="3">
        <f t="shared" si="1"/>
        <v>18</v>
      </c>
      <c r="G27" s="15">
        <v>1.5</v>
      </c>
      <c r="H27" s="15">
        <v>1.3</v>
      </c>
      <c r="I27" s="15">
        <v>1</v>
      </c>
      <c r="J27" s="15">
        <v>1.6</v>
      </c>
      <c r="K27" s="15">
        <v>1.6</v>
      </c>
      <c r="L27" s="15">
        <v>1.1000000000000001</v>
      </c>
      <c r="M27" s="15">
        <v>2.4</v>
      </c>
      <c r="N27" s="15">
        <v>1.7</v>
      </c>
      <c r="O27" s="15">
        <v>1.5</v>
      </c>
      <c r="P27" s="15">
        <v>2</v>
      </c>
      <c r="Q27" s="15">
        <v>0</v>
      </c>
      <c r="R27" s="15">
        <v>1.7</v>
      </c>
    </row>
    <row r="28" spans="6:18" x14ac:dyDescent="0.45">
      <c r="F28" s="3">
        <f t="shared" si="1"/>
        <v>40</v>
      </c>
      <c r="G28" s="15">
        <v>1.4</v>
      </c>
      <c r="H28" s="15">
        <v>3</v>
      </c>
      <c r="I28" s="15">
        <v>2</v>
      </c>
      <c r="J28" s="15">
        <v>2</v>
      </c>
      <c r="K28" s="15">
        <v>1.5</v>
      </c>
      <c r="L28" s="15">
        <v>1.6</v>
      </c>
      <c r="M28" s="15">
        <v>2.8</v>
      </c>
      <c r="N28" s="15">
        <v>1.5</v>
      </c>
      <c r="O28" s="15">
        <v>1.9</v>
      </c>
      <c r="P28" s="15">
        <v>1.5</v>
      </c>
      <c r="Q28" s="15">
        <v>1.7</v>
      </c>
      <c r="R28" s="15">
        <v>0</v>
      </c>
    </row>
    <row r="31" spans="6:18" x14ac:dyDescent="0.45">
      <c r="F31" s="4" t="s">
        <v>225</v>
      </c>
      <c r="G31" s="3">
        <f t="shared" ref="G31:R31" si="2">G1</f>
        <v>9</v>
      </c>
      <c r="H31" s="3">
        <f t="shared" si="2"/>
        <v>12</v>
      </c>
      <c r="I31" s="3">
        <f t="shared" si="2"/>
        <v>29</v>
      </c>
      <c r="J31" s="3">
        <f t="shared" si="2"/>
        <v>24</v>
      </c>
      <c r="K31" s="3">
        <f t="shared" si="2"/>
        <v>21</v>
      </c>
      <c r="L31" s="3">
        <f t="shared" si="2"/>
        <v>42</v>
      </c>
      <c r="M31" s="3">
        <f t="shared" si="2"/>
        <v>43</v>
      </c>
      <c r="N31" s="3">
        <f t="shared" si="2"/>
        <v>31</v>
      </c>
      <c r="O31" s="3">
        <f t="shared" si="2"/>
        <v>33</v>
      </c>
      <c r="P31" s="3">
        <f t="shared" si="2"/>
        <v>30</v>
      </c>
      <c r="Q31" s="3">
        <f t="shared" si="2"/>
        <v>18</v>
      </c>
      <c r="R31" s="3">
        <f t="shared" si="2"/>
        <v>40</v>
      </c>
    </row>
    <row r="32" spans="6:18" x14ac:dyDescent="0.45">
      <c r="F32" s="3">
        <f t="shared" ref="F32:F43" si="3">F2</f>
        <v>9</v>
      </c>
      <c r="G32" s="1">
        <v>0</v>
      </c>
      <c r="H32" s="1">
        <v>22</v>
      </c>
      <c r="I32" s="1">
        <v>11</v>
      </c>
      <c r="J32" s="1">
        <v>18</v>
      </c>
      <c r="K32" s="1">
        <v>11</v>
      </c>
      <c r="L32" s="1">
        <v>20</v>
      </c>
      <c r="M32" s="1">
        <v>13</v>
      </c>
      <c r="N32" s="1">
        <v>14</v>
      </c>
      <c r="O32" s="1">
        <v>23</v>
      </c>
      <c r="P32" s="1">
        <v>11</v>
      </c>
      <c r="Q32" s="1">
        <v>8</v>
      </c>
      <c r="R32" s="1">
        <v>14</v>
      </c>
    </row>
    <row r="33" spans="6:18" x14ac:dyDescent="0.45">
      <c r="F33" s="3">
        <f t="shared" si="3"/>
        <v>12</v>
      </c>
      <c r="G33" s="1">
        <v>22</v>
      </c>
      <c r="H33" s="1">
        <v>0</v>
      </c>
      <c r="I33" s="1">
        <v>8</v>
      </c>
      <c r="J33" s="1">
        <v>29</v>
      </c>
      <c r="K33" s="1">
        <v>23</v>
      </c>
      <c r="L33" s="1">
        <v>11</v>
      </c>
      <c r="M33" s="1">
        <v>12</v>
      </c>
      <c r="N33" s="1">
        <v>12</v>
      </c>
      <c r="O33" s="1">
        <v>12</v>
      </c>
      <c r="P33" s="1">
        <v>11</v>
      </c>
      <c r="Q33" s="1">
        <v>23</v>
      </c>
      <c r="R33" s="1">
        <v>30</v>
      </c>
    </row>
    <row r="34" spans="6:18" x14ac:dyDescent="0.45">
      <c r="F34" s="3">
        <f t="shared" si="3"/>
        <v>29</v>
      </c>
      <c r="G34" s="1">
        <v>11</v>
      </c>
      <c r="H34" s="1">
        <v>8</v>
      </c>
      <c r="I34" s="1">
        <v>0</v>
      </c>
      <c r="J34" s="1">
        <v>25</v>
      </c>
      <c r="K34" s="1">
        <v>16</v>
      </c>
      <c r="L34" s="1">
        <v>21</v>
      </c>
      <c r="M34" s="1">
        <v>19</v>
      </c>
      <c r="N34" s="1">
        <v>23</v>
      </c>
      <c r="O34" s="1">
        <v>11</v>
      </c>
      <c r="P34" s="1">
        <v>22</v>
      </c>
      <c r="Q34" s="1">
        <v>27</v>
      </c>
      <c r="R34" s="1">
        <v>11</v>
      </c>
    </row>
    <row r="35" spans="6:18" x14ac:dyDescent="0.45">
      <c r="F35" s="3">
        <f t="shared" si="3"/>
        <v>24</v>
      </c>
      <c r="G35" s="1">
        <v>18</v>
      </c>
      <c r="H35" s="1">
        <v>29</v>
      </c>
      <c r="I35" s="1">
        <v>25</v>
      </c>
      <c r="J35" s="1">
        <v>0</v>
      </c>
      <c r="K35" s="1">
        <v>11</v>
      </c>
      <c r="L35" s="1">
        <v>24</v>
      </c>
      <c r="M35" s="1">
        <v>20</v>
      </c>
      <c r="N35" s="1">
        <v>21</v>
      </c>
      <c r="O35" s="1">
        <v>12</v>
      </c>
      <c r="P35" s="1">
        <v>25</v>
      </c>
      <c r="Q35" s="1">
        <v>14</v>
      </c>
      <c r="R35" s="1">
        <v>12</v>
      </c>
    </row>
    <row r="36" spans="6:18" x14ac:dyDescent="0.45">
      <c r="F36" s="3">
        <f t="shared" si="3"/>
        <v>21</v>
      </c>
      <c r="G36" s="1">
        <v>11</v>
      </c>
      <c r="H36" s="1">
        <v>23</v>
      </c>
      <c r="I36" s="1">
        <v>16</v>
      </c>
      <c r="J36" s="1">
        <v>11</v>
      </c>
      <c r="K36" s="1">
        <v>0</v>
      </c>
      <c r="L36" s="1">
        <v>15</v>
      </c>
      <c r="M36" s="1">
        <v>23</v>
      </c>
      <c r="N36" s="1">
        <v>11</v>
      </c>
      <c r="O36" s="1">
        <v>22</v>
      </c>
      <c r="P36" s="1">
        <v>9</v>
      </c>
      <c r="Q36" s="1">
        <v>13</v>
      </c>
      <c r="R36" s="1">
        <v>26</v>
      </c>
    </row>
    <row r="37" spans="6:18" x14ac:dyDescent="0.45">
      <c r="F37" s="3">
        <f t="shared" si="3"/>
        <v>42</v>
      </c>
      <c r="G37" s="1">
        <v>20</v>
      </c>
      <c r="H37" s="1">
        <v>11</v>
      </c>
      <c r="I37" s="1">
        <v>21</v>
      </c>
      <c r="J37" s="1">
        <v>24</v>
      </c>
      <c r="K37" s="1">
        <v>15</v>
      </c>
      <c r="L37" s="1">
        <v>0</v>
      </c>
      <c r="M37" s="1">
        <v>18</v>
      </c>
      <c r="N37" s="1">
        <v>10</v>
      </c>
      <c r="O37" s="1">
        <v>20</v>
      </c>
      <c r="P37" s="1">
        <v>12</v>
      </c>
      <c r="Q37" s="1">
        <v>20</v>
      </c>
      <c r="R37" s="1">
        <v>13</v>
      </c>
    </row>
    <row r="38" spans="6:18" x14ac:dyDescent="0.45">
      <c r="F38" s="3">
        <f t="shared" si="3"/>
        <v>43</v>
      </c>
      <c r="G38" s="1">
        <v>13</v>
      </c>
      <c r="H38" s="1">
        <v>12</v>
      </c>
      <c r="I38" s="1">
        <v>19</v>
      </c>
      <c r="J38" s="1">
        <v>20</v>
      </c>
      <c r="K38" s="1">
        <v>23</v>
      </c>
      <c r="L38" s="1">
        <v>18</v>
      </c>
      <c r="M38" s="1">
        <v>0</v>
      </c>
      <c r="N38" s="1">
        <v>11</v>
      </c>
      <c r="O38" s="1">
        <v>8</v>
      </c>
      <c r="P38" s="1">
        <v>21</v>
      </c>
      <c r="Q38" s="1">
        <v>11</v>
      </c>
      <c r="R38" s="1">
        <v>18</v>
      </c>
    </row>
    <row r="39" spans="6:18" x14ac:dyDescent="0.45">
      <c r="F39" s="3">
        <f t="shared" si="3"/>
        <v>31</v>
      </c>
      <c r="G39" s="1">
        <v>14</v>
      </c>
      <c r="H39" s="1">
        <v>12</v>
      </c>
      <c r="I39" s="1">
        <v>23</v>
      </c>
      <c r="J39" s="1">
        <v>21</v>
      </c>
      <c r="K39" s="1">
        <v>11</v>
      </c>
      <c r="L39" s="1">
        <v>10</v>
      </c>
      <c r="M39" s="1">
        <v>11</v>
      </c>
      <c r="N39" s="1">
        <v>0</v>
      </c>
      <c r="O39" s="1">
        <v>25</v>
      </c>
      <c r="P39" s="1">
        <v>28</v>
      </c>
      <c r="Q39" s="1">
        <v>19</v>
      </c>
      <c r="R39" s="1">
        <v>26</v>
      </c>
    </row>
    <row r="40" spans="6:18" x14ac:dyDescent="0.45">
      <c r="F40" s="3">
        <f t="shared" si="3"/>
        <v>33</v>
      </c>
      <c r="G40" s="1">
        <v>23</v>
      </c>
      <c r="H40" s="1">
        <v>12</v>
      </c>
      <c r="I40" s="1">
        <v>11</v>
      </c>
      <c r="J40" s="1">
        <v>12</v>
      </c>
      <c r="K40" s="1">
        <v>22</v>
      </c>
      <c r="L40" s="1">
        <v>20</v>
      </c>
      <c r="M40" s="1">
        <v>8</v>
      </c>
      <c r="N40" s="1">
        <v>25</v>
      </c>
      <c r="O40" s="1">
        <v>0</v>
      </c>
      <c r="P40" s="1">
        <v>22</v>
      </c>
      <c r="Q40" s="1">
        <v>29</v>
      </c>
      <c r="R40" s="1">
        <v>17</v>
      </c>
    </row>
    <row r="41" spans="6:18" x14ac:dyDescent="0.45">
      <c r="F41" s="3">
        <f t="shared" si="3"/>
        <v>30</v>
      </c>
      <c r="G41" s="1">
        <v>11</v>
      </c>
      <c r="H41" s="1">
        <v>11</v>
      </c>
      <c r="I41" s="1">
        <v>22</v>
      </c>
      <c r="J41" s="1">
        <v>25</v>
      </c>
      <c r="K41" s="1">
        <v>9</v>
      </c>
      <c r="L41" s="1">
        <v>12</v>
      </c>
      <c r="M41" s="1">
        <v>21</v>
      </c>
      <c r="N41" s="1">
        <v>28</v>
      </c>
      <c r="O41" s="1">
        <v>22</v>
      </c>
      <c r="P41" s="1">
        <v>0</v>
      </c>
      <c r="Q41" s="1">
        <v>14</v>
      </c>
      <c r="R41" s="1">
        <v>17</v>
      </c>
    </row>
    <row r="42" spans="6:18" x14ac:dyDescent="0.45">
      <c r="F42" s="3">
        <f t="shared" si="3"/>
        <v>18</v>
      </c>
      <c r="G42" s="1">
        <v>8</v>
      </c>
      <c r="H42" s="1">
        <v>23</v>
      </c>
      <c r="I42" s="1">
        <v>27</v>
      </c>
      <c r="J42" s="1">
        <v>14</v>
      </c>
      <c r="K42" s="1">
        <v>13</v>
      </c>
      <c r="L42" s="1">
        <v>20</v>
      </c>
      <c r="M42" s="1">
        <v>11</v>
      </c>
      <c r="N42" s="1">
        <v>19</v>
      </c>
      <c r="O42" s="1">
        <v>29</v>
      </c>
      <c r="P42" s="1">
        <v>14</v>
      </c>
      <c r="Q42" s="1">
        <v>0</v>
      </c>
      <c r="R42" s="1">
        <v>7</v>
      </c>
    </row>
    <row r="43" spans="6:18" x14ac:dyDescent="0.45">
      <c r="F43" s="3">
        <f t="shared" si="3"/>
        <v>40</v>
      </c>
      <c r="G43" s="1">
        <v>14</v>
      </c>
      <c r="H43" s="1">
        <v>30</v>
      </c>
      <c r="I43" s="1">
        <v>11</v>
      </c>
      <c r="J43" s="1">
        <v>12</v>
      </c>
      <c r="K43" s="1">
        <v>26</v>
      </c>
      <c r="L43" s="1">
        <v>13</v>
      </c>
      <c r="M43" s="1">
        <v>18</v>
      </c>
      <c r="N43" s="1">
        <v>26</v>
      </c>
      <c r="O43" s="1">
        <v>17</v>
      </c>
      <c r="P43" s="1">
        <v>17</v>
      </c>
      <c r="Q43" s="1">
        <v>7</v>
      </c>
      <c r="R43" s="1">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SClearFactors">
                <anchor moveWithCells="1" sizeWithCells="1">
                  <from>
                    <xdr:col>0</xdr:col>
                    <xdr:colOff>0</xdr:colOff>
                    <xdr:row>14</xdr:row>
                    <xdr:rowOff>19050</xdr:rowOff>
                  </from>
                  <to>
                    <xdr:col>3</xdr:col>
                    <xdr:colOff>385763</xdr:colOff>
                    <xdr:row>16</xdr:row>
                    <xdr:rowOff>176213</xdr:rowOff>
                  </to>
                </anchor>
              </controlPr>
            </control>
          </mc:Choice>
        </mc:AlternateContent>
        <mc:AlternateContent xmlns:mc="http://schemas.openxmlformats.org/markup-compatibility/2006">
          <mc:Choice Requires="x14">
            <control shapeId="6146" r:id="rId4" name="Button 2">
              <controlPr defaultSize="0" print="0" autoFill="0" autoPict="0" macro="[0]!SRandomFactors">
                <anchor moveWithCells="1" sizeWithCells="1">
                  <from>
                    <xdr:col>0</xdr:col>
                    <xdr:colOff>0</xdr:colOff>
                    <xdr:row>18</xdr:row>
                    <xdr:rowOff>4763</xdr:rowOff>
                  </from>
                  <to>
                    <xdr:col>3</xdr:col>
                    <xdr:colOff>381000</xdr:colOff>
                    <xdr:row>20</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C0719-20F8-4741-8FAB-60BF87DFF567}">
  <sheetPr codeName="UpMatrices"/>
  <dimension ref="A1:S30"/>
  <sheetViews>
    <sheetView zoomScale="90" zoomScaleNormal="90" workbookViewId="0">
      <selection activeCell="T16" sqref="T16"/>
    </sheetView>
  </sheetViews>
  <sheetFormatPr defaultColWidth="8.73046875" defaultRowHeight="14.25" x14ac:dyDescent="0.45"/>
  <cols>
    <col min="1" max="1" width="10" style="1" bestFit="1" customWidth="1"/>
    <col min="2" max="2" width="8.265625" style="1" bestFit="1" customWidth="1"/>
    <col min="3" max="4" width="5.53125" style="1" bestFit="1" customWidth="1"/>
    <col min="5" max="5" width="8.73046875" style="1"/>
    <col min="6" max="6" width="10" style="1" bestFit="1" customWidth="1"/>
    <col min="7" max="19" width="7.265625" style="1" customWidth="1"/>
    <col min="20" max="16384" width="8.73046875" style="1"/>
  </cols>
  <sheetData>
    <row r="1" spans="1:19" x14ac:dyDescent="0.45">
      <c r="A1" s="4" t="s">
        <v>295</v>
      </c>
      <c r="B1" s="4" t="s">
        <v>296</v>
      </c>
      <c r="C1" s="4" t="s">
        <v>297</v>
      </c>
      <c r="D1" s="4" t="s">
        <v>298</v>
      </c>
      <c r="F1" s="4" t="s">
        <v>245</v>
      </c>
      <c r="G1" s="3">
        <f>NetNum!T2</f>
        <v>9</v>
      </c>
      <c r="H1" s="3">
        <f>NetNum!T3</f>
        <v>12</v>
      </c>
      <c r="I1" s="3">
        <f>NetNum!T4</f>
        <v>29</v>
      </c>
      <c r="J1" s="3">
        <f>NetNum!T5</f>
        <v>24</v>
      </c>
      <c r="K1" s="3">
        <f>NetNum!T6</f>
        <v>21</v>
      </c>
      <c r="L1" s="3">
        <f>NetNum!T7</f>
        <v>42</v>
      </c>
      <c r="M1" s="3">
        <f>NetNum!T8</f>
        <v>43</v>
      </c>
      <c r="N1" s="3">
        <f>NetNum!T9</f>
        <v>31</v>
      </c>
      <c r="O1" s="3">
        <f>NetNum!T10</f>
        <v>33</v>
      </c>
      <c r="P1" s="3">
        <f>NetNum!T11</f>
        <v>30</v>
      </c>
      <c r="Q1" s="3">
        <f>NetNum!T12</f>
        <v>18</v>
      </c>
      <c r="R1" s="3">
        <f>NetNum!T13</f>
        <v>40</v>
      </c>
      <c r="S1" s="3" t="s">
        <v>329</v>
      </c>
    </row>
    <row r="2" spans="1:19" x14ac:dyDescent="0.45">
      <c r="A2" s="5" t="s">
        <v>245</v>
      </c>
      <c r="B2" s="1" t="s">
        <v>17</v>
      </c>
      <c r="C2" s="1" t="s">
        <v>299</v>
      </c>
      <c r="F2" s="3">
        <f>NetNum!T2</f>
        <v>9</v>
      </c>
      <c r="G2" s="7">
        <f>IFERROR((Mods!G2+Mods!V2)*Factors!G2/Factors!G17*Factors!$D$11,0)</f>
        <v>0</v>
      </c>
      <c r="H2" s="7">
        <f>IFERROR((Mods!H2+Mods!W2)*Factors!H2/Factors!H17*Factors!$D$11,0)</f>
        <v>550.44559709625855</v>
      </c>
      <c r="I2" s="7">
        <f>IFERROR((Mods!I2+Mods!X2)*Factors!I2/Factors!I17*Factors!$D$11,0)</f>
        <v>456.17507649637798</v>
      </c>
      <c r="J2" s="7">
        <f>IFERROR((Mods!J2+Mods!Y2)*Factors!J2/Factors!J17*Factors!$D$11,0)</f>
        <v>297.6663182426459</v>
      </c>
      <c r="K2" s="7">
        <f>IFERROR((Mods!K2+Mods!Z2)*Factors!K2/Factors!K17*Factors!$D$11,0)</f>
        <v>328.94211296700888</v>
      </c>
      <c r="L2" s="7">
        <f>IFERROR((Mods!L2+Mods!AA2)*Factors!L2/Factors!L17*Factors!$D$11,0)</f>
        <v>184.70118170993183</v>
      </c>
      <c r="M2" s="7">
        <f>IFERROR((Mods!M2+Mods!AB2)*Factors!M2/Factors!M17*Factors!$D$11,0)</f>
        <v>1235.4596189344957</v>
      </c>
      <c r="N2" s="7">
        <f>IFERROR((Mods!N2+Mods!AC2)*Factors!N2/Factors!N17*Factors!$D$11,0)</f>
        <v>271.71817214507911</v>
      </c>
      <c r="O2" s="7">
        <f>IFERROR((Mods!O2+Mods!AD2)*Factors!O2/Factors!O17*Factors!$D$11,0)</f>
        <v>246.73533400696354</v>
      </c>
      <c r="P2" s="7">
        <f>IFERROR((Mods!P2+Mods!AE2)*Factors!P2/Factors!P17*Factors!$D$11,0)</f>
        <v>443.67183496056748</v>
      </c>
      <c r="Q2" s="7">
        <f>IFERROR((Mods!Q2+Mods!AF2)*Factors!Q2/Factors!Q17*Factors!$D$11,0)</f>
        <v>273.39182359627165</v>
      </c>
      <c r="R2" s="7">
        <f>IFERROR((Mods!R2+Mods!AG2)*Factors!R2/Factors!R17*Factors!$D$11,0)</f>
        <v>604.33956135024027</v>
      </c>
      <c r="S2" s="7">
        <f>SUM(G2:R2)</f>
        <v>4893.2466315058409</v>
      </c>
    </row>
    <row r="3" spans="1:19" x14ac:dyDescent="0.45">
      <c r="A3" s="5" t="s">
        <v>247</v>
      </c>
      <c r="B3" s="1" t="s">
        <v>17</v>
      </c>
      <c r="C3" s="1" t="s">
        <v>300</v>
      </c>
      <c r="F3" s="3">
        <f>NetNum!T3</f>
        <v>12</v>
      </c>
      <c r="G3" s="7">
        <f>IFERROR((Mods!G3+Mods!V3)*Factors!G3/Factors!G18*Factors!$D$11,0)</f>
        <v>550.26752244845738</v>
      </c>
      <c r="H3" s="7">
        <f>IFERROR((Mods!H3+Mods!W3)*Factors!H3/Factors!H18*Factors!$D$11,0)</f>
        <v>0</v>
      </c>
      <c r="I3" s="7">
        <f>IFERROR((Mods!I3+Mods!X3)*Factors!I3/Factors!I18*Factors!$D$11,0)</f>
        <v>519.43496822781231</v>
      </c>
      <c r="J3" s="7">
        <f>IFERROR((Mods!J3+Mods!Y3)*Factors!J3/Factors!J18*Factors!$D$11,0)</f>
        <v>1734.1669285752059</v>
      </c>
      <c r="K3" s="7">
        <f>IFERROR((Mods!K3+Mods!Z3)*Factors!K3/Factors!K18*Factors!$D$11,0)</f>
        <v>580.37506282273876</v>
      </c>
      <c r="L3" s="7">
        <f>IFERROR((Mods!L3+Mods!AA3)*Factors!L3/Factors!L18*Factors!$D$11,0)</f>
        <v>422.71850315630644</v>
      </c>
      <c r="M3" s="7">
        <f>IFERROR((Mods!M3+Mods!AB3)*Factors!M3/Factors!M18*Factors!$D$11,0)</f>
        <v>3196.6465374637883</v>
      </c>
      <c r="N3" s="7">
        <f>IFERROR((Mods!N3+Mods!AC3)*Factors!N3/Factors!N18*Factors!$D$11,0)</f>
        <v>694.1700483709318</v>
      </c>
      <c r="O3" s="7">
        <f>IFERROR((Mods!O3+Mods!AD3)*Factors!O3/Factors!O18*Factors!$D$11,0)</f>
        <v>471.3780959895908</v>
      </c>
      <c r="P3" s="7">
        <f>IFERROR((Mods!P3+Mods!AE3)*Factors!P3/Factors!P18*Factors!$D$11,0)</f>
        <v>1563.842589989523</v>
      </c>
      <c r="Q3" s="7">
        <f>IFERROR((Mods!Q3+Mods!AF3)*Factors!Q3/Factors!Q18*Factors!$D$11,0)</f>
        <v>2018.0896928301524</v>
      </c>
      <c r="R3" s="7">
        <f>IFERROR((Mods!R3+Mods!AG3)*Factors!R3/Factors!R18*Factors!$D$11,0)</f>
        <v>619.23102224937475</v>
      </c>
      <c r="S3" s="7">
        <f t="shared" ref="S3:S13" si="0">SUM(G3:R3)</f>
        <v>12370.320972123882</v>
      </c>
    </row>
    <row r="4" spans="1:19" x14ac:dyDescent="0.45">
      <c r="F4" s="3">
        <f>NetNum!T4</f>
        <v>29</v>
      </c>
      <c r="G4" s="7">
        <f>IFERROR((Mods!G4+Mods!V4)*Factors!G4/Factors!G19*Factors!$D$11,0)</f>
        <v>456.36123095959925</v>
      </c>
      <c r="H4" s="7">
        <f>IFERROR((Mods!H4+Mods!W4)*Factors!H4/Factors!H19*Factors!$D$11,0)</f>
        <v>520.06251853391484</v>
      </c>
      <c r="I4" s="7">
        <f>IFERROR((Mods!I4+Mods!X4)*Factors!I4/Factors!I19*Factors!$D$11,0)</f>
        <v>0</v>
      </c>
      <c r="J4" s="7">
        <f>IFERROR((Mods!J4+Mods!Y4)*Factors!J4/Factors!J19*Factors!$D$11,0)</f>
        <v>804.49833095287011</v>
      </c>
      <c r="K4" s="7">
        <f>IFERROR((Mods!K4+Mods!Z4)*Factors!K4/Factors!K19*Factors!$D$11,0)</f>
        <v>116.86552960906478</v>
      </c>
      <c r="L4" s="7">
        <f>IFERROR((Mods!L4+Mods!AA4)*Factors!L4/Factors!L19*Factors!$D$11,0)</f>
        <v>1613.5829872124991</v>
      </c>
      <c r="M4" s="7">
        <f>IFERROR((Mods!M4+Mods!AB4)*Factors!M4/Factors!M19*Factors!$D$11,0)</f>
        <v>1674.9318227234087</v>
      </c>
      <c r="N4" s="7">
        <f>IFERROR((Mods!N4+Mods!AC4)*Factors!N4/Factors!N19*Factors!$D$11,0)</f>
        <v>947.62846890938727</v>
      </c>
      <c r="O4" s="7">
        <f>IFERROR((Mods!O4+Mods!AD4)*Factors!O4/Factors!O19*Factors!$D$11,0)</f>
        <v>2148.1056844733371</v>
      </c>
      <c r="P4" s="7">
        <f>IFERROR((Mods!P4+Mods!AE4)*Factors!P4/Factors!P19*Factors!$D$11,0)</f>
        <v>1432.3988108326575</v>
      </c>
      <c r="Q4" s="7">
        <f>IFERROR((Mods!Q4+Mods!AF4)*Factors!Q4/Factors!Q19*Factors!$D$11,0)</f>
        <v>2614.9011735095823</v>
      </c>
      <c r="R4" s="7">
        <f>IFERROR((Mods!R4+Mods!AG4)*Factors!R4/Factors!R19*Factors!$D$11,0)</f>
        <v>87.878226412648857</v>
      </c>
      <c r="S4" s="7">
        <f t="shared" si="0"/>
        <v>12417.214784128972</v>
      </c>
    </row>
    <row r="5" spans="1:19" x14ac:dyDescent="0.45">
      <c r="F5" s="3">
        <f>NetNum!T5</f>
        <v>24</v>
      </c>
      <c r="G5" s="7">
        <f>IFERROR((Mods!G5+Mods!V5)*Factors!G5/Factors!G20*Factors!$D$11,0)</f>
        <v>300.96730180646085</v>
      </c>
      <c r="H5" s="7">
        <f>IFERROR((Mods!H5+Mods!W5)*Factors!H5/Factors!H20*Factors!$D$11,0)</f>
        <v>1751.3410806278916</v>
      </c>
      <c r="I5" s="7">
        <f>IFERROR((Mods!I5+Mods!X5)*Factors!I5/Factors!I20*Factors!$D$11,0)</f>
        <v>813.76351177480183</v>
      </c>
      <c r="J5" s="7">
        <f>IFERROR((Mods!J5+Mods!Y5)*Factors!J5/Factors!J20*Factors!$D$11,0)</f>
        <v>0</v>
      </c>
      <c r="K5" s="7">
        <f>IFERROR((Mods!K5+Mods!Z5)*Factors!K5/Factors!K20*Factors!$D$11,0)</f>
        <v>534.59047952072922</v>
      </c>
      <c r="L5" s="7">
        <f>IFERROR((Mods!L5+Mods!AA5)*Factors!L5/Factors!L20*Factors!$D$11,0)</f>
        <v>278.89381923212852</v>
      </c>
      <c r="M5" s="7">
        <f>IFERROR((Mods!M5+Mods!AB5)*Factors!M5/Factors!M20*Factors!$D$11,0)</f>
        <v>1738.8414391816423</v>
      </c>
      <c r="N5" s="7">
        <f>IFERROR((Mods!N5+Mods!AC5)*Factors!N5/Factors!N20*Factors!$D$11,0)</f>
        <v>448.56448154641839</v>
      </c>
      <c r="O5" s="7">
        <f>IFERROR((Mods!O5+Mods!AD5)*Factors!O5/Factors!O20*Factors!$D$11,0)</f>
        <v>510.79871520424024</v>
      </c>
      <c r="P5" s="7">
        <f>IFERROR((Mods!P5+Mods!AE5)*Factors!P5/Factors!P20*Factors!$D$11,0)</f>
        <v>1316.02321167431</v>
      </c>
      <c r="Q5" s="7">
        <f>IFERROR((Mods!Q5+Mods!AF5)*Factors!Q5/Factors!Q20*Factors!$D$11,0)</f>
        <v>123.19026203883037</v>
      </c>
      <c r="R5" s="7">
        <f>IFERROR((Mods!R5+Mods!AG5)*Factors!R5/Factors!R20*Factors!$D$11,0)</f>
        <v>214.33793714113258</v>
      </c>
      <c r="S5" s="7">
        <f t="shared" si="0"/>
        <v>8031.3122397485868</v>
      </c>
    </row>
    <row r="6" spans="1:19" x14ac:dyDescent="0.45">
      <c r="A6" s="27" t="s">
        <v>397</v>
      </c>
      <c r="B6" s="27"/>
      <c r="C6" s="27"/>
      <c r="D6" s="27"/>
      <c r="F6" s="3">
        <f>NetNum!T6</f>
        <v>21</v>
      </c>
      <c r="G6" s="7">
        <f>IFERROR((Mods!G6+Mods!V6)*Factors!G6/Factors!G21*Factors!$D$11,0)</f>
        <v>333.33928498112022</v>
      </c>
      <c r="H6" s="7">
        <f>IFERROR((Mods!H6+Mods!W6)*Factors!H6/Factors!H21*Factors!$D$11,0)</f>
        <v>591.00282728683317</v>
      </c>
      <c r="I6" s="7">
        <f>IFERROR((Mods!I6+Mods!X6)*Factors!I6/Factors!I21*Factors!$D$11,0)</f>
        <v>118.66862480802649</v>
      </c>
      <c r="J6" s="7">
        <f>IFERROR((Mods!J6+Mods!Y6)*Factors!J6/Factors!J21*Factors!$D$11,0)</f>
        <v>538.02125255092926</v>
      </c>
      <c r="K6" s="7">
        <f>IFERROR((Mods!K6+Mods!Z6)*Factors!K6/Factors!K21*Factors!$D$11,0)</f>
        <v>0</v>
      </c>
      <c r="L6" s="7">
        <f>IFERROR((Mods!L6+Mods!AA6)*Factors!L6/Factors!L21*Factors!$D$11,0)</f>
        <v>675.01767946940629</v>
      </c>
      <c r="M6" s="7">
        <f>IFERROR((Mods!M6+Mods!AB6)*Factors!M6/Factors!M21*Factors!$D$11,0)</f>
        <v>2003.4615608710001</v>
      </c>
      <c r="N6" s="7">
        <f>IFERROR((Mods!N6+Mods!AC6)*Factors!N6/Factors!N21*Factors!$D$11,0)</f>
        <v>55.757909204320846</v>
      </c>
      <c r="O6" s="7">
        <f>IFERROR((Mods!O6+Mods!AD6)*Factors!O6/Factors!O21*Factors!$D$11,0)</f>
        <v>259.24470194915034</v>
      </c>
      <c r="P6" s="7">
        <f>IFERROR((Mods!P6+Mods!AE6)*Factors!P6/Factors!P21*Factors!$D$11,0)</f>
        <v>3798.2971393960233</v>
      </c>
      <c r="Q6" s="7">
        <f>IFERROR((Mods!Q6+Mods!AF6)*Factors!Q6/Factors!Q21*Factors!$D$11,0)</f>
        <v>309.87582118076944</v>
      </c>
      <c r="R6" s="7">
        <f>IFERROR((Mods!R6+Mods!AG6)*Factors!R6/Factors!R21*Factors!$D$11,0)</f>
        <v>377.99758436354136</v>
      </c>
      <c r="S6" s="7">
        <f t="shared" si="0"/>
        <v>9060.6843860611207</v>
      </c>
    </row>
    <row r="7" spans="1:19" x14ac:dyDescent="0.45">
      <c r="A7" s="27"/>
      <c r="B7" s="27"/>
      <c r="C7" s="27"/>
      <c r="D7" s="27"/>
      <c r="F7" s="3">
        <f>NetNum!T7</f>
        <v>42</v>
      </c>
      <c r="G7" s="7">
        <f>IFERROR((Mods!G7+Mods!V7)*Factors!G7/Factors!G22*Factors!$D$11,0)</f>
        <v>182.81169212823573</v>
      </c>
      <c r="H7" s="7">
        <f>IFERROR((Mods!H7+Mods!W7)*Factors!H7/Factors!H22*Factors!$D$11,0)</f>
        <v>419.27748636940464</v>
      </c>
      <c r="I7" s="7">
        <f>IFERROR((Mods!I7+Mods!X7)*Factors!I7/Factors!I22*Factors!$D$11,0)</f>
        <v>1598.2304551469629</v>
      </c>
      <c r="J7" s="7">
        <f>IFERROR((Mods!J7+Mods!Y7)*Factors!J7/Factors!J22*Factors!$D$11,0)</f>
        <v>273.20437927290709</v>
      </c>
      <c r="K7" s="7">
        <f>IFERROR((Mods!K7+Mods!Z7)*Factors!K7/Factors!K22*Factors!$D$11,0)</f>
        <v>657.88113371377278</v>
      </c>
      <c r="L7" s="7">
        <f>IFERROR((Mods!L7+Mods!AA7)*Factors!L7/Factors!L22*Factors!$D$11,0)</f>
        <v>0</v>
      </c>
      <c r="M7" s="7">
        <f>IFERROR((Mods!M7+Mods!AB7)*Factors!M7/Factors!M22*Factors!$D$11,0)</f>
        <v>287.60398380882407</v>
      </c>
      <c r="N7" s="7">
        <f>IFERROR((Mods!N7+Mods!AC7)*Factors!N7/Factors!N22*Factors!$D$11,0)</f>
        <v>148.42813856286091</v>
      </c>
      <c r="O7" s="7">
        <f>IFERROR((Mods!O7+Mods!AD7)*Factors!O7/Factors!O22*Factors!$D$11,0)</f>
        <v>669.27135682215726</v>
      </c>
      <c r="P7" s="7">
        <f>IFERROR((Mods!P7+Mods!AE7)*Factors!P7/Factors!P22*Factors!$D$11,0)</f>
        <v>816.25089653687223</v>
      </c>
      <c r="Q7" s="7">
        <f>IFERROR((Mods!Q7+Mods!AF7)*Factors!Q7/Factors!Q22*Factors!$D$11,0)</f>
        <v>661.37133137670344</v>
      </c>
      <c r="R7" s="7">
        <f>IFERROR((Mods!R7+Mods!AG7)*Factors!R7/Factors!R22*Factors!$D$11,0)</f>
        <v>267.49521767304907</v>
      </c>
      <c r="S7" s="7">
        <f t="shared" si="0"/>
        <v>5981.8260714117514</v>
      </c>
    </row>
    <row r="8" spans="1:19" x14ac:dyDescent="0.45">
      <c r="A8" s="27"/>
      <c r="B8" s="27"/>
      <c r="C8" s="27"/>
      <c r="D8" s="27"/>
      <c r="F8" s="3">
        <f>NetNum!T8</f>
        <v>43</v>
      </c>
      <c r="G8" s="7">
        <f>IFERROR((Mods!G8+Mods!V8)*Factors!G8/Factors!G23*Factors!$D$11,0)</f>
        <v>1230.1633494652756</v>
      </c>
      <c r="H8" s="7">
        <f>IFERROR((Mods!H8+Mods!W8)*Factors!H8/Factors!H23*Factors!$D$11,0)</f>
        <v>3183.2193243330171</v>
      </c>
      <c r="I8" s="7">
        <f>IFERROR((Mods!I8+Mods!X8)*Factors!I8/Factors!I23*Factors!$D$11,0)</f>
        <v>1665.5966995082154</v>
      </c>
      <c r="J8" s="7">
        <f>IFERROR((Mods!J8+Mods!Y8)*Factors!J8/Factors!J23*Factors!$D$11,0)</f>
        <v>1717.4166834453929</v>
      </c>
      <c r="K8" s="7">
        <f>IFERROR((Mods!K8+Mods!Z8)*Factors!K8/Factors!K23*Factors!$D$11,0)</f>
        <v>1966.1209561295095</v>
      </c>
      <c r="L8" s="7">
        <f>IFERROR((Mods!L8+Mods!AA8)*Factors!L8/Factors!L23*Factors!$D$11,0)</f>
        <v>288.94357651775277</v>
      </c>
      <c r="M8" s="7">
        <f>IFERROR((Mods!M8+Mods!AB8)*Factors!M8/Factors!M23*Factors!$D$11,0)</f>
        <v>0</v>
      </c>
      <c r="N8" s="7">
        <f>IFERROR((Mods!N8+Mods!AC8)*Factors!N8/Factors!N23*Factors!$D$11,0)</f>
        <v>2764.6019471242817</v>
      </c>
      <c r="O8" s="7">
        <f>IFERROR((Mods!O8+Mods!AD8)*Factors!O8/Factors!O23*Factors!$D$11,0)</f>
        <v>969.74050205877199</v>
      </c>
      <c r="P8" s="7">
        <f>IFERROR((Mods!P8+Mods!AE8)*Factors!P8/Factors!P23*Factors!$D$11,0)</f>
        <v>578.05195456939236</v>
      </c>
      <c r="Q8" s="7">
        <f>IFERROR((Mods!Q8+Mods!AF8)*Factors!Q8/Factors!Q23*Factors!$D$11,0)</f>
        <v>1505.893721437669</v>
      </c>
      <c r="R8" s="7">
        <f>IFERROR((Mods!R8+Mods!AG8)*Factors!R8/Factors!R23*Factors!$D$11,0)</f>
        <v>784.07896633704809</v>
      </c>
      <c r="S8" s="7">
        <f t="shared" si="0"/>
        <v>16653.827680926326</v>
      </c>
    </row>
    <row r="9" spans="1:19" x14ac:dyDescent="0.45">
      <c r="A9" s="27"/>
      <c r="B9" s="27"/>
      <c r="C9" s="27"/>
      <c r="D9" s="27"/>
      <c r="F9" s="3">
        <f>NetNum!T9</f>
        <v>31</v>
      </c>
      <c r="G9" s="7">
        <f>IFERROR((Mods!G9+Mods!V9)*Factors!G9/Factors!G24*Factors!$D$11,0)</f>
        <v>272.27830110596045</v>
      </c>
      <c r="H9" s="7">
        <f>IFERROR((Mods!H9+Mods!W9)*Factors!H9/Factors!H24*Factors!$D$11,0)</f>
        <v>696.43946336910324</v>
      </c>
      <c r="I9" s="7">
        <f>IFERROR((Mods!I9+Mods!X9)*Factors!I9/Factors!I24*Factors!$D$11,0)</f>
        <v>949.15722850148813</v>
      </c>
      <c r="J9" s="7">
        <f>IFERROR((Mods!J9+Mods!Y9)*Factors!J9/Factors!J24*Factors!$D$11,0)</f>
        <v>445.17544584664148</v>
      </c>
      <c r="K9" s="7">
        <f>IFERROR((Mods!K9+Mods!Z9)*Factors!K9/Factors!K24*Factors!$D$11,0)</f>
        <v>54.982815440271466</v>
      </c>
      <c r="L9" s="7">
        <f>IFERROR((Mods!L9+Mods!AA9)*Factors!L9/Factors!L24*Factors!$D$11,0)</f>
        <v>150.14628188221764</v>
      </c>
      <c r="M9" s="7">
        <f>IFERROR((Mods!M9+Mods!AB9)*Factors!M9/Factors!M24*Factors!$D$11,0)</f>
        <v>2783.6539353221465</v>
      </c>
      <c r="N9" s="7">
        <f>IFERROR((Mods!N9+Mods!AC9)*Factors!N9/Factors!N24*Factors!$D$11,0)</f>
        <v>0</v>
      </c>
      <c r="O9" s="7">
        <f>IFERROR((Mods!O9+Mods!AD9)*Factors!O9/Factors!O24*Factors!$D$11,0)</f>
        <v>867.25494057820367</v>
      </c>
      <c r="P9" s="7">
        <f>IFERROR((Mods!P9+Mods!AE9)*Factors!P9/Factors!P24*Factors!$D$11,0)</f>
        <v>827.90439817589277</v>
      </c>
      <c r="Q9" s="7">
        <f>IFERROR((Mods!Q9+Mods!AF9)*Factors!Q9/Factors!Q24*Factors!$D$11,0)</f>
        <v>1144.3782269356041</v>
      </c>
      <c r="R9" s="7">
        <f>IFERROR((Mods!R9+Mods!AG9)*Factors!R9/Factors!R24*Factors!$D$11,0)</f>
        <v>1488.1775093006202</v>
      </c>
      <c r="S9" s="7">
        <f t="shared" si="0"/>
        <v>9679.5485464581507</v>
      </c>
    </row>
    <row r="10" spans="1:19" x14ac:dyDescent="0.45">
      <c r="A10" s="27"/>
      <c r="B10" s="27"/>
      <c r="C10" s="27"/>
      <c r="D10" s="27"/>
      <c r="F10" s="3">
        <f>NetNum!T10</f>
        <v>33</v>
      </c>
      <c r="G10" s="7">
        <f>IFERROR((Mods!G10+Mods!V10)*Factors!G10/Factors!G25*Factors!$D$11,0)</f>
        <v>244.41716281734372</v>
      </c>
      <c r="H10" s="7">
        <f>IFERROR((Mods!H10+Mods!W10)*Factors!H10/Factors!H25*Factors!$D$11,0)</f>
        <v>465.20224216867109</v>
      </c>
      <c r="I10" s="7">
        <f>IFERROR((Mods!I10+Mods!X10)*Factors!I10/Factors!I25*Factors!$D$11,0)</f>
        <v>2123.1034236483861</v>
      </c>
      <c r="J10" s="7">
        <f>IFERROR((Mods!J10+Mods!Y10)*Factors!J10/Factors!J25*Factors!$D$11,0)</f>
        <v>500.05201323343476</v>
      </c>
      <c r="K10" s="7">
        <f>IFERROR((Mods!K10+Mods!Z10)*Factors!K10/Factors!K25*Factors!$D$11,0)</f>
        <v>251.69912832493083</v>
      </c>
      <c r="L10" s="7">
        <f>IFERROR((Mods!L10+Mods!AA10)*Factors!L10/Factors!L25*Factors!$D$11,0)</f>
        <v>666.85023308294137</v>
      </c>
      <c r="M10" s="7">
        <f>IFERROR((Mods!M10+Mods!AB10)*Factors!M10/Factors!M25*Factors!$D$11,0)</f>
        <v>960.45583376568709</v>
      </c>
      <c r="N10" s="7">
        <f>IFERROR((Mods!N10+Mods!AC10)*Factors!N10/Factors!N25*Factors!$D$11,0)</f>
        <v>853.87140069300938</v>
      </c>
      <c r="O10" s="7">
        <f>IFERROR((Mods!O10+Mods!AD10)*Factors!O10/Factors!O25*Factors!$D$11,0)</f>
        <v>0</v>
      </c>
      <c r="P10" s="7">
        <f>IFERROR((Mods!P10+Mods!AE10)*Factors!P10/Factors!P25*Factors!$D$11,0)</f>
        <v>625.17036068592506</v>
      </c>
      <c r="Q10" s="7">
        <f>IFERROR((Mods!Q10+Mods!AF10)*Factors!Q10/Factors!Q25*Factors!$D$11,0)</f>
        <v>619.21181953499615</v>
      </c>
      <c r="R10" s="7">
        <f>IFERROR((Mods!R10+Mods!AG10)*Factors!R10/Factors!R25*Factors!$D$11,0)</f>
        <v>617.11192440085642</v>
      </c>
      <c r="S10" s="7">
        <f t="shared" si="0"/>
        <v>7927.145542356182</v>
      </c>
    </row>
    <row r="11" spans="1:19" x14ac:dyDescent="0.45">
      <c r="F11" s="3">
        <f>NetNum!T11</f>
        <v>30</v>
      </c>
      <c r="G11" s="7">
        <f>IFERROR((Mods!G11+Mods!V11)*Factors!G11/Factors!G26*Factors!$D$11,0)</f>
        <v>444.00887024695464</v>
      </c>
      <c r="H11" s="7">
        <f>IFERROR((Mods!H11+Mods!W11)*Factors!H11/Factors!H26*Factors!$D$11,0)</f>
        <v>1565.9653416509245</v>
      </c>
      <c r="I11" s="7">
        <f>IFERROR((Mods!I11+Mods!X11)*Factors!I11/Factors!I26*Factors!$D$11,0)</f>
        <v>1432.5646208709716</v>
      </c>
      <c r="J11" s="7">
        <f>IFERROR((Mods!J11+Mods!Y11)*Factors!J11/Factors!J26*Factors!$D$11,0)</f>
        <v>1304.0939168204807</v>
      </c>
      <c r="K11" s="7">
        <f>IFERROR((Mods!K11+Mods!Z11)*Factors!K11/Factors!K26*Factors!$D$11,0)</f>
        <v>3741.1351185546141</v>
      </c>
      <c r="L11" s="7">
        <f>IFERROR((Mods!L11+Mods!AA11)*Factors!L11/Factors!L26*Factors!$D$11,0)</f>
        <v>823.27038650768077</v>
      </c>
      <c r="M11" s="7">
        <f>IFERROR((Mods!M11+Mods!AB11)*Factors!M11/Factors!M26*Factors!$D$11,0)</f>
        <v>581.64863333952553</v>
      </c>
      <c r="N11" s="7">
        <f>IFERROR((Mods!N11+Mods!AC11)*Factors!N11/Factors!N26*Factors!$D$11,0)</f>
        <v>826.42261623518675</v>
      </c>
      <c r="O11" s="7">
        <f>IFERROR((Mods!O11+Mods!AD11)*Factors!O11/Factors!O26*Factors!$D$11,0)</f>
        <v>635.43495004993963</v>
      </c>
      <c r="P11" s="7">
        <f>IFERROR((Mods!P11+Mods!AE11)*Factors!P11/Factors!P26*Factors!$D$11,0)</f>
        <v>0</v>
      </c>
      <c r="Q11" s="7">
        <f>IFERROR((Mods!Q11+Mods!AF11)*Factors!Q11/Factors!Q26*Factors!$D$11,0)</f>
        <v>680.95690245319759</v>
      </c>
      <c r="R11" s="7">
        <f>IFERROR((Mods!R11+Mods!AG11)*Factors!R11/Factors!R26*Factors!$D$11,0)</f>
        <v>1615.8239393221122</v>
      </c>
      <c r="S11" s="7">
        <f t="shared" si="0"/>
        <v>13651.325296051586</v>
      </c>
    </row>
    <row r="12" spans="1:19" x14ac:dyDescent="0.45">
      <c r="F12" s="3">
        <f>NetNum!T12</f>
        <v>18</v>
      </c>
      <c r="G12" s="7">
        <f>IFERROR((Mods!G12+Mods!V12)*Factors!G12/Factors!G27*Factors!$D$11,0)</f>
        <v>274.66615660847202</v>
      </c>
      <c r="H12" s="7">
        <f>IFERROR((Mods!H12+Mods!W12)*Factors!H12/Factors!H27*Factors!$D$11,0)</f>
        <v>2031.6497162450273</v>
      </c>
      <c r="I12" s="7">
        <f>IFERROR((Mods!I12+Mods!X12)*Factors!I12/Factors!I27*Factors!$D$11,0)</f>
        <v>2629.7747912446316</v>
      </c>
      <c r="J12" s="7">
        <f>IFERROR((Mods!J12+Mods!Y12)*Factors!J12/Factors!J27*Factors!$D$11,0)</f>
        <v>122.71567441433093</v>
      </c>
      <c r="K12" s="7">
        <f>IFERROR((Mods!K12+Mods!Z12)*Factors!K12/Factors!K27*Factors!$D$11,0)</f>
        <v>305.66195053424963</v>
      </c>
      <c r="L12" s="7">
        <f>IFERROR((Mods!L12+Mods!AA12)*Factors!L12/Factors!L27*Factors!$D$11,0)</f>
        <v>671.01603997199572</v>
      </c>
      <c r="M12" s="7">
        <f>IFERROR((Mods!M12+Mods!AB12)*Factors!M12/Factors!M27*Factors!$D$11,0)</f>
        <v>1521.0749057932817</v>
      </c>
      <c r="N12" s="7">
        <f>IFERROR((Mods!N12+Mods!AC12)*Factors!N12/Factors!N27*Factors!$D$11,0)</f>
        <v>1148.3246513672232</v>
      </c>
      <c r="O12" s="7">
        <f>IFERROR((Mods!O12+Mods!AD12)*Factors!O12/Factors!O27*Factors!$D$11,0)</f>
        <v>628.70586748705591</v>
      </c>
      <c r="P12" s="7">
        <f>IFERROR((Mods!P12+Mods!AE12)*Factors!P12/Factors!P27*Factors!$D$11,0)</f>
        <v>684.15263409394481</v>
      </c>
      <c r="Q12" s="7">
        <f>IFERROR((Mods!Q12+Mods!AF12)*Factors!Q12/Factors!Q27*Factors!$D$11,0)</f>
        <v>0</v>
      </c>
      <c r="R12" s="7">
        <f>IFERROR((Mods!R12+Mods!AG12)*Factors!R12/Factors!R27*Factors!$D$11,0)</f>
        <v>856.54094626150015</v>
      </c>
      <c r="S12" s="7">
        <f t="shared" si="0"/>
        <v>10874.283334021713</v>
      </c>
    </row>
    <row r="13" spans="1:19" x14ac:dyDescent="0.45">
      <c r="F13" s="3">
        <f>NetNum!T13</f>
        <v>40</v>
      </c>
      <c r="G13" s="7">
        <f>IFERROR((Mods!G13+Mods!V13)*Factors!G13/Factors!G28*Factors!$D$11,0)</f>
        <v>603.39417635155564</v>
      </c>
      <c r="H13" s="7">
        <f>IFERROR((Mods!H13+Mods!W13)*Factors!H13/Factors!H28*Factors!$D$11,0)</f>
        <v>618.75191731583334</v>
      </c>
      <c r="I13" s="7">
        <f>IFERROR((Mods!I13+Mods!X13)*Factors!I13/Factors!I28*Factors!$D$11,0)</f>
        <v>87.718554029179586</v>
      </c>
      <c r="J13" s="7">
        <f>IFERROR((Mods!J13+Mods!Y13)*Factors!J13/Factors!J28*Factors!$D$11,0)</f>
        <v>212.1642447232318</v>
      </c>
      <c r="K13" s="7">
        <f>IFERROR((Mods!K13+Mods!Z13)*Factors!K13/Factors!K28*Factors!$D$11,0)</f>
        <v>370.03905118334961</v>
      </c>
      <c r="L13" s="7">
        <f>IFERROR((Mods!L13+Mods!AA13)*Factors!L13/Factors!L28*Factors!$D$11,0)</f>
        <v>269.58227951184364</v>
      </c>
      <c r="M13" s="7">
        <f>IFERROR((Mods!M13+Mods!AB13)*Factors!M13/Factors!M28*Factors!$D$11,0)</f>
        <v>786.70147343228768</v>
      </c>
      <c r="N13" s="7">
        <f>IFERROR((Mods!N13+Mods!AC13)*Factors!N13/Factors!N28*Factors!$D$11,0)</f>
        <v>1482.1622555595195</v>
      </c>
      <c r="O13" s="7">
        <f>IFERROR((Mods!O13+Mods!AD13)*Factors!O13/Factors!O28*Factors!$D$11,0)</f>
        <v>624.39723652169721</v>
      </c>
      <c r="P13" s="7">
        <f>IFERROR((Mods!P13+Mods!AE13)*Factors!P13/Factors!P28*Factors!$D$11,0)</f>
        <v>1612.4616113542861</v>
      </c>
      <c r="Q13" s="7">
        <f>IFERROR((Mods!Q13+Mods!AF13)*Factors!Q13/Factors!Q28*Factors!$D$11,0)</f>
        <v>849.92058531465466</v>
      </c>
      <c r="R13" s="7">
        <f>IFERROR((Mods!R13+Mods!AG13)*Factors!R13/Factors!R28*Factors!$D$11,0)</f>
        <v>0</v>
      </c>
      <c r="S13" s="7">
        <f t="shared" si="0"/>
        <v>7517.2933852974384</v>
      </c>
    </row>
    <row r="14" spans="1:19" x14ac:dyDescent="0.45">
      <c r="F14" s="3" t="s">
        <v>329</v>
      </c>
      <c r="G14" s="7">
        <f>SUM(G2:G13)</f>
        <v>4892.6750489194355</v>
      </c>
      <c r="H14" s="7">
        <f t="shared" ref="H14:R14" si="1">SUM(H2:H13)</f>
        <v>12393.357514996878</v>
      </c>
      <c r="I14" s="7">
        <f t="shared" si="1"/>
        <v>12394.187954256853</v>
      </c>
      <c r="J14" s="7">
        <f t="shared" si="1"/>
        <v>7949.1751880780703</v>
      </c>
      <c r="K14" s="7">
        <f t="shared" si="1"/>
        <v>8908.2933388002402</v>
      </c>
      <c r="L14" s="7">
        <f t="shared" si="1"/>
        <v>6044.722968254704</v>
      </c>
      <c r="M14" s="7">
        <f t="shared" si="1"/>
        <v>16770.47974463609</v>
      </c>
      <c r="N14" s="7">
        <f t="shared" si="1"/>
        <v>9641.6500897182195</v>
      </c>
      <c r="O14" s="7">
        <f t="shared" si="1"/>
        <v>8031.0673851411066</v>
      </c>
      <c r="P14" s="7">
        <f t="shared" si="1"/>
        <v>13698.225442269395</v>
      </c>
      <c r="Q14" s="7">
        <f t="shared" si="1"/>
        <v>10801.181360208429</v>
      </c>
      <c r="R14" s="7">
        <f t="shared" si="1"/>
        <v>7533.0128348121225</v>
      </c>
      <c r="S14" s="7">
        <f>SUM(G14:R14)</f>
        <v>119058.02887009156</v>
      </c>
    </row>
    <row r="17" spans="6:19" x14ac:dyDescent="0.45">
      <c r="F17" s="4" t="s">
        <v>247</v>
      </c>
      <c r="G17" s="3">
        <f t="shared" ref="G17:R17" si="2">G1</f>
        <v>9</v>
      </c>
      <c r="H17" s="3">
        <f t="shared" si="2"/>
        <v>12</v>
      </c>
      <c r="I17" s="3">
        <f t="shared" si="2"/>
        <v>29</v>
      </c>
      <c r="J17" s="3">
        <f t="shared" si="2"/>
        <v>24</v>
      </c>
      <c r="K17" s="3">
        <f t="shared" si="2"/>
        <v>21</v>
      </c>
      <c r="L17" s="3">
        <f t="shared" si="2"/>
        <v>42</v>
      </c>
      <c r="M17" s="3">
        <f t="shared" si="2"/>
        <v>43</v>
      </c>
      <c r="N17" s="3">
        <f t="shared" si="2"/>
        <v>31</v>
      </c>
      <c r="O17" s="3">
        <f t="shared" si="2"/>
        <v>33</v>
      </c>
      <c r="P17" s="3">
        <f t="shared" si="2"/>
        <v>30</v>
      </c>
      <c r="Q17" s="3">
        <f t="shared" si="2"/>
        <v>18</v>
      </c>
      <c r="R17" s="3">
        <f t="shared" si="2"/>
        <v>40</v>
      </c>
      <c r="S17" s="3" t="s">
        <v>329</v>
      </c>
    </row>
    <row r="18" spans="6:19" x14ac:dyDescent="0.45">
      <c r="F18" s="3">
        <f t="shared" ref="F18:F29" si="3">F2</f>
        <v>9</v>
      </c>
      <c r="G18" s="7">
        <f>IFERROR((Mods!G18+Mods!V18)*Factors!G2/Factors!G32*Factors!$D$12,0)</f>
        <v>0</v>
      </c>
      <c r="H18" s="7">
        <f>IFERROR((Mods!H18+Mods!W18)*Factors!H2/Factors!H32*Factors!$D$12,0)</f>
        <v>124.71561190787328</v>
      </c>
      <c r="I18" s="7">
        <f>IFERROR((Mods!I18+Mods!X18)*Factors!I2/Factors!I32*Factors!$D$12,0)</f>
        <v>182.17234914372327</v>
      </c>
      <c r="J18" s="7">
        <f>IFERROR((Mods!J18+Mods!Y18)*Factors!J2/Factors!J32*Factors!$D$12,0)</f>
        <v>10.68458921489097</v>
      </c>
      <c r="K18" s="7">
        <f>IFERROR((Mods!K18+Mods!Z18)*Factors!K2/Factors!K32*Factors!$D$12,0)</f>
        <v>241.06583645188968</v>
      </c>
      <c r="L18" s="7">
        <f>IFERROR((Mods!L18+Mods!AA18)*Factors!L2/Factors!L32*Factors!$D$12,0)</f>
        <v>9.1483246230397803</v>
      </c>
      <c r="M18" s="7">
        <f>IFERROR((Mods!M18+Mods!AB18)*Factors!M2/Factors!M32*Factors!$D$12,0)</f>
        <v>310.24245067169034</v>
      </c>
      <c r="N18" s="7">
        <f>IFERROR((Mods!N18+Mods!AC18)*Factors!N2/Factors!N32*Factors!$D$12,0)</f>
        <v>114.53233443932568</v>
      </c>
      <c r="O18" s="7">
        <f>IFERROR((Mods!O18+Mods!AD18)*Factors!O2/Factors!O32*Factors!$D$12,0)</f>
        <v>170.66085082550862</v>
      </c>
      <c r="P18" s="7">
        <f>IFERROR((Mods!P18+Mods!AE18)*Factors!P2/Factors!P32*Factors!$D$12,0)</f>
        <v>21.364323769468985</v>
      </c>
      <c r="Q18" s="7">
        <f>IFERROR((Mods!Q18+Mods!AF18)*Factors!Q2/Factors!Q32*Factors!$D$12,0)</f>
        <v>425.4217551485591</v>
      </c>
      <c r="R18" s="7">
        <f>IFERROR((Mods!R18+Mods!AG18)*Factors!R2/Factors!R32*Factors!$D$12,0)</f>
        <v>54.062834292216458</v>
      </c>
      <c r="S18" s="7">
        <f>SUM(G18:R18)</f>
        <v>1664.071260488186</v>
      </c>
    </row>
    <row r="19" spans="6:19" x14ac:dyDescent="0.45">
      <c r="F19" s="3">
        <f t="shared" si="3"/>
        <v>12</v>
      </c>
      <c r="G19" s="7">
        <f>IFERROR((Mods!G19+Mods!V19)*Factors!G3/Factors!G33*Factors!$D$12,0)</f>
        <v>124.54353586480444</v>
      </c>
      <c r="H19" s="7">
        <f>IFERROR((Mods!H19+Mods!W19)*Factors!H3/Factors!H33*Factors!$D$12,0)</f>
        <v>0</v>
      </c>
      <c r="I19" s="7">
        <f>IFERROR((Mods!I19+Mods!X19)*Factors!I3/Factors!I33*Factors!$D$12,0)</f>
        <v>9.4544192261833775</v>
      </c>
      <c r="J19" s="7">
        <f>IFERROR((Mods!J19+Mods!Y19)*Factors!J3/Factors!J33*Factors!$D$12,0)</f>
        <v>40.437321915567374</v>
      </c>
      <c r="K19" s="7">
        <f>IFERROR((Mods!K19+Mods!Z19)*Factors!K3/Factors!K33*Factors!$D$12,0)</f>
        <v>33.695957356368005</v>
      </c>
      <c r="L19" s="7">
        <f>IFERROR((Mods!L19+Mods!AA19)*Factors!L3/Factors!L33*Factors!$D$12,0)</f>
        <v>164.99487043625962</v>
      </c>
      <c r="M19" s="7">
        <f>IFERROR((Mods!M19+Mods!AB19)*Factors!M3/Factors!M33*Factors!$D$12,0)</f>
        <v>226.29699992964075</v>
      </c>
      <c r="N19" s="7">
        <f>IFERROR((Mods!N19+Mods!AC19)*Factors!N3/Factors!N33*Factors!$D$12,0)</f>
        <v>30.925975371547413</v>
      </c>
      <c r="O19" s="7">
        <f>IFERROR((Mods!O19+Mods!AD19)*Factors!O3/Factors!O33*Factors!$D$12,0)</f>
        <v>44.508760555885289</v>
      </c>
      <c r="P19" s="7">
        <f>IFERROR((Mods!P19+Mods!AE19)*Factors!P3/Factors!P33*Factors!$D$12,0)</f>
        <v>76.394085014869248</v>
      </c>
      <c r="Q19" s="7">
        <f>IFERROR((Mods!Q19+Mods!AF19)*Factors!Q3/Factors!Q33*Factors!$D$12,0)</f>
        <v>8.2965419637578126</v>
      </c>
      <c r="R19" s="7">
        <f>IFERROR((Mods!R19+Mods!AG19)*Factors!R3/Factors!R33*Factors!$D$12,0)</f>
        <v>101.2289759051411</v>
      </c>
      <c r="S19" s="7">
        <f t="shared" ref="S19:S30" si="4">SUM(G19:R19)</f>
        <v>860.77744354002436</v>
      </c>
    </row>
    <row r="20" spans="6:19" x14ac:dyDescent="0.45">
      <c r="F20" s="3">
        <f t="shared" si="3"/>
        <v>29</v>
      </c>
      <c r="G20" s="7">
        <f>IFERROR((Mods!G20+Mods!V20)*Factors!G4/Factors!G34*Factors!$D$12,0)</f>
        <v>182.14797696861544</v>
      </c>
      <c r="H20" s="7">
        <f>IFERROR((Mods!H20+Mods!W20)*Factors!H4/Factors!H34*Factors!$D$12,0)</f>
        <v>9.4714621269730355</v>
      </c>
      <c r="I20" s="7">
        <f>IFERROR((Mods!I20+Mods!X20)*Factors!I4/Factors!I34*Factors!$D$12,0)</f>
        <v>0</v>
      </c>
      <c r="J20" s="7">
        <f>IFERROR((Mods!J20+Mods!Y20)*Factors!J4/Factors!J34*Factors!$D$12,0)</f>
        <v>9.539111861657922</v>
      </c>
      <c r="K20" s="7">
        <f>IFERROR((Mods!K20+Mods!Z20)*Factors!K4/Factors!K34*Factors!$D$12,0)</f>
        <v>127.64768423550439</v>
      </c>
      <c r="L20" s="7">
        <f>IFERROR((Mods!L20+Mods!AA20)*Factors!L4/Factors!L34*Factors!$D$12,0)</f>
        <v>3.0852514969383313</v>
      </c>
      <c r="M20" s="7">
        <f>IFERROR((Mods!M20+Mods!AB20)*Factors!M4/Factors!M34*Factors!$D$12,0)</f>
        <v>67.600871379383662</v>
      </c>
      <c r="N20" s="7">
        <f>IFERROR((Mods!N20+Mods!AC20)*Factors!N4/Factors!N34*Factors!$D$12,0)</f>
        <v>164.74263857922074</v>
      </c>
      <c r="O20" s="7">
        <f>IFERROR((Mods!O20+Mods!AD20)*Factors!O4/Factors!O34*Factors!$D$12,0)</f>
        <v>280.11994886611683</v>
      </c>
      <c r="P20" s="7">
        <f>IFERROR((Mods!P20+Mods!AE20)*Factors!P4/Factors!P34*Factors!$D$12,0)</f>
        <v>118.01920950684507</v>
      </c>
      <c r="Q20" s="7">
        <f>IFERROR((Mods!Q20+Mods!AF20)*Factors!Q4/Factors!Q34*Factors!$D$12,0)</f>
        <v>31.399126166456508</v>
      </c>
      <c r="R20" s="7">
        <f>IFERROR((Mods!R20+Mods!AG20)*Factors!R4/Factors!R34*Factors!$D$12,0)</f>
        <v>259.65358356100865</v>
      </c>
      <c r="S20" s="7">
        <f t="shared" si="4"/>
        <v>1253.4268647487206</v>
      </c>
    </row>
    <row r="21" spans="6:19" x14ac:dyDescent="0.45">
      <c r="F21" s="3">
        <f t="shared" si="3"/>
        <v>24</v>
      </c>
      <c r="G21" s="7">
        <f>IFERROR((Mods!G21+Mods!V21)*Factors!G5/Factors!G35*Factors!$D$12,0)</f>
        <v>10.869988870332397</v>
      </c>
      <c r="H21" s="7">
        <f>IFERROR((Mods!H21+Mods!W21)*Factors!H5/Factors!H35*Factors!$D$12,0)</f>
        <v>41.151863412358175</v>
      </c>
      <c r="I21" s="7">
        <f>IFERROR((Mods!I21+Mods!X21)*Factors!I5/Factors!I35*Factors!$D$12,0)</f>
        <v>9.7104092806000022</v>
      </c>
      <c r="J21" s="7">
        <f>IFERROR((Mods!J21+Mods!Y21)*Factors!J5/Factors!J35*Factors!$D$12,0)</f>
        <v>0</v>
      </c>
      <c r="K21" s="7">
        <f>IFERROR((Mods!K21+Mods!Z21)*Factors!K5/Factors!K35*Factors!$D$12,0)</f>
        <v>153.27290790535443</v>
      </c>
      <c r="L21" s="7">
        <f>IFERROR((Mods!L21+Mods!AA21)*Factors!L5/Factors!L35*Factors!$D$12,0)</f>
        <v>18.112274939617929</v>
      </c>
      <c r="M21" s="7">
        <f>IFERROR((Mods!M21+Mods!AB21)*Factors!M5/Factors!M35*Factors!$D$12,0)</f>
        <v>394.44898544464348</v>
      </c>
      <c r="N21" s="7">
        <f>IFERROR((Mods!N21+Mods!AC21)*Factors!N5/Factors!N35*Factors!$D$12,0)</f>
        <v>67.98443381240169</v>
      </c>
      <c r="O21" s="7">
        <f>IFERROR((Mods!O21+Mods!AD21)*Factors!O5/Factors!O35*Factors!$D$12,0)</f>
        <v>117.15426620087702</v>
      </c>
      <c r="P21" s="7">
        <f>IFERROR((Mods!P21+Mods!AE21)*Factors!P5/Factors!P35*Factors!$D$12,0)</f>
        <v>77.067370315124904</v>
      </c>
      <c r="Q21" s="7">
        <f>IFERROR((Mods!Q21+Mods!AF21)*Factors!Q5/Factors!Q35*Factors!$D$12,0)</f>
        <v>130.01183592290496</v>
      </c>
      <c r="R21" s="7">
        <f>IFERROR((Mods!R21+Mods!AG21)*Factors!R5/Factors!R35*Factors!$D$12,0)</f>
        <v>242.42391070331738</v>
      </c>
      <c r="S21" s="7">
        <f t="shared" si="4"/>
        <v>1262.2082468075323</v>
      </c>
    </row>
    <row r="22" spans="6:19" x14ac:dyDescent="0.45">
      <c r="F22" s="3">
        <f t="shared" si="3"/>
        <v>21</v>
      </c>
      <c r="G22" s="7">
        <f>IFERROR((Mods!G22+Mods!V22)*Factors!G6/Factors!G36*Factors!$D$12,0)</f>
        <v>246.39897598684502</v>
      </c>
      <c r="H22" s="7">
        <f>IFERROR((Mods!H22+Mods!W22)*Factors!H6/Factors!H36*Factors!$D$12,0)</f>
        <v>34.733067315242018</v>
      </c>
      <c r="I22" s="7">
        <f>IFERROR((Mods!I22+Mods!X22)*Factors!I6/Factors!I36*Factors!$D$12,0)</f>
        <v>130.74105964782703</v>
      </c>
      <c r="J22" s="7">
        <f>IFERROR((Mods!J22+Mods!Y22)*Factors!J6/Factors!J36*Factors!$D$12,0)</f>
        <v>154.8860812562734</v>
      </c>
      <c r="K22" s="7">
        <f>IFERROR((Mods!K22+Mods!Z22)*Factors!K6/Factors!K36*Factors!$D$12,0)</f>
        <v>0</v>
      </c>
      <c r="L22" s="7">
        <f>IFERROR((Mods!L22+Mods!AA22)*Factors!L6/Factors!L36*Factors!$D$12,0)</f>
        <v>25.659537096121806</v>
      </c>
      <c r="M22" s="7">
        <f>IFERROR((Mods!M22+Mods!AB22)*Factors!M6/Factors!M36*Factors!$D$12,0)</f>
        <v>227.8892861359727</v>
      </c>
      <c r="N22" s="7">
        <f>IFERROR((Mods!N22+Mods!AC22)*Factors!N6/Factors!N36*Factors!$D$12,0)</f>
        <v>171.9203174292538</v>
      </c>
      <c r="O22" s="7">
        <f>IFERROR((Mods!O22+Mods!AD22)*Factors!O6/Factors!O36*Factors!$D$12,0)</f>
        <v>45.450273630950072</v>
      </c>
      <c r="P22" s="7">
        <f>IFERROR((Mods!P22+Mods!AE22)*Factors!P6/Factors!P36*Factors!$D$12,0)</f>
        <v>77.202155961021717</v>
      </c>
      <c r="Q22" s="7">
        <f>IFERROR((Mods!Q22+Mods!AF22)*Factors!Q6/Factors!Q36*Factors!$D$12,0)</f>
        <v>18.837881138517062</v>
      </c>
      <c r="R22" s="7">
        <f>IFERROR((Mods!R22+Mods!AG22)*Factors!R6/Factors!R36*Factors!$D$12,0)</f>
        <v>17.326469143665079</v>
      </c>
      <c r="S22" s="7">
        <f t="shared" si="4"/>
        <v>1151.0451047416896</v>
      </c>
    </row>
    <row r="23" spans="6:19" x14ac:dyDescent="0.45">
      <c r="F23" s="3">
        <f t="shared" si="3"/>
        <v>42</v>
      </c>
      <c r="G23" s="7">
        <f>IFERROR((Mods!G23+Mods!V23)*Factors!G7/Factors!G37*Factors!$D$12,0)</f>
        <v>8.9976187789088424</v>
      </c>
      <c r="H23" s="7">
        <f>IFERROR((Mods!H23+Mods!W23)*Factors!H7/Factors!H37*Factors!$D$12,0)</f>
        <v>163.03750341633372</v>
      </c>
      <c r="I23" s="7">
        <f>IFERROR((Mods!I23+Mods!X23)*Factors!I7/Factors!I37*Factors!$D$12,0)</f>
        <v>3.0348373926346954</v>
      </c>
      <c r="J23" s="7">
        <f>IFERROR((Mods!J23+Mods!Y23)*Factors!J7/Factors!J37*Factors!$D$12,0)</f>
        <v>17.531105771900837</v>
      </c>
      <c r="K23" s="7">
        <f>IFERROR((Mods!K23+Mods!Z23)*Factors!K7/Factors!K37*Factors!$D$12,0)</f>
        <v>24.601722347801349</v>
      </c>
      <c r="L23" s="7">
        <f>IFERROR((Mods!L23+Mods!AA23)*Factors!L7/Factors!L37*Factors!$D$12,0)</f>
        <v>0</v>
      </c>
      <c r="M23" s="7">
        <f>IFERROR((Mods!M23+Mods!AB23)*Factors!M7/Factors!M37*Factors!$D$12,0)</f>
        <v>85.481027596701296</v>
      </c>
      <c r="N23" s="7">
        <f>IFERROR((Mods!N23+Mods!AC23)*Factors!N7/Factors!N37*Factors!$D$12,0)</f>
        <v>93.869716313880829</v>
      </c>
      <c r="O23" s="7">
        <f>IFERROR((Mods!O23+Mods!AD23)*Factors!O7/Factors!O37*Factors!$D$12,0)</f>
        <v>33.034704597434583</v>
      </c>
      <c r="P23" s="7">
        <f>IFERROR((Mods!P23+Mods!AE23)*Factors!P7/Factors!P37*Factors!$D$12,0)</f>
        <v>124.08247480115305</v>
      </c>
      <c r="Q23" s="7">
        <f>IFERROR((Mods!Q23+Mods!AF23)*Factors!Q7/Factors!Q37*Factors!$D$12,0)</f>
        <v>57.737496463949086</v>
      </c>
      <c r="R23" s="7">
        <f>IFERROR((Mods!R23+Mods!AG23)*Factors!R7/Factors!R37*Factors!$D$12,0)</f>
        <v>75.172212485821632</v>
      </c>
      <c r="S23" s="7">
        <f t="shared" si="4"/>
        <v>686.58041996652003</v>
      </c>
    </row>
    <row r="24" spans="6:19" x14ac:dyDescent="0.45">
      <c r="F24" s="3">
        <f t="shared" si="3"/>
        <v>43</v>
      </c>
      <c r="G24" s="7">
        <f>IFERROR((Mods!G24+Mods!V24)*Factors!G8/Factors!G38*Factors!$D$12,0)</f>
        <v>308.26401075631219</v>
      </c>
      <c r="H24" s="7">
        <f>IFERROR((Mods!H24+Mods!W24)*Factors!H8/Factors!H38*Factors!$D$12,0)</f>
        <v>225.09552888663325</v>
      </c>
      <c r="I24" s="7">
        <f>IFERROR((Mods!I24+Mods!X24)*Factors!I8/Factors!I38*Factors!$D$12,0)</f>
        <v>67.111815027860871</v>
      </c>
      <c r="J24" s="7">
        <f>IFERROR((Mods!J24+Mods!Y24)*Factors!J8/Factors!J38*Factors!$D$12,0)</f>
        <v>386.90631571896751</v>
      </c>
      <c r="K24" s="7">
        <f>IFERROR((Mods!K24+Mods!Z24)*Factors!K8/Factors!K38*Factors!$D$12,0)</f>
        <v>220.83735663244948</v>
      </c>
      <c r="L24" s="7">
        <f>IFERROR((Mods!L24+Mods!AA24)*Factors!L8/Factors!L38*Factors!$D$12,0)</f>
        <v>86.112149248511955</v>
      </c>
      <c r="M24" s="7">
        <f>IFERROR((Mods!M24+Mods!AB24)*Factors!M8/Factors!M38*Factors!$D$12,0)</f>
        <v>0</v>
      </c>
      <c r="N24" s="7">
        <f>IFERROR((Mods!N24+Mods!AC24)*Factors!N8/Factors!N38*Factors!$D$12,0)</f>
        <v>203.29254075646003</v>
      </c>
      <c r="O24" s="7">
        <f>IFERROR((Mods!O24+Mods!AD24)*Factors!O8/Factors!O38*Factors!$D$12,0)</f>
        <v>17.773614254360474</v>
      </c>
      <c r="P24" s="7">
        <f>IFERROR((Mods!P24+Mods!AE24)*Factors!P8/Factors!P38*Factors!$D$12,0)</f>
        <v>59.06796465386418</v>
      </c>
      <c r="Q24" s="7">
        <f>IFERROR((Mods!Q24+Mods!AF24)*Factors!Q8/Factors!Q38*Factors!$D$12,0)</f>
        <v>368.10068573745235</v>
      </c>
      <c r="R24" s="7">
        <f>IFERROR((Mods!R24+Mods!AG24)*Factors!R8/Factors!R38*Factors!$D$12,0)</f>
        <v>140.07186001952857</v>
      </c>
      <c r="S24" s="7">
        <f t="shared" si="4"/>
        <v>2082.6338416924009</v>
      </c>
    </row>
    <row r="25" spans="6:19" x14ac:dyDescent="0.45">
      <c r="F25" s="3">
        <f t="shared" si="3"/>
        <v>31</v>
      </c>
      <c r="G25" s="7">
        <f>IFERROR((Mods!G25+Mods!V25)*Factors!G9/Factors!G39*Factors!$D$12,0)</f>
        <v>114.88036723901391</v>
      </c>
      <c r="H25" s="7">
        <f>IFERROR((Mods!H25+Mods!W25)*Factors!H9/Factors!H39*Factors!$D$12,0)</f>
        <v>31.102255051789502</v>
      </c>
      <c r="I25" s="7">
        <f>IFERROR((Mods!I25+Mods!X25)*Factors!I9/Factors!I39*Factors!$D$12,0)</f>
        <v>165.26307674568773</v>
      </c>
      <c r="J25" s="7">
        <f>IFERROR((Mods!J25+Mods!Y25)*Factors!J9/Factors!J39*Factors!$D$12,0)</f>
        <v>67.176420743419854</v>
      </c>
      <c r="K25" s="7">
        <f>IFERROR((Mods!K25+Mods!Z25)*Factors!K9/Factors!K39*Factors!$D$12,0)</f>
        <v>168.64736187145056</v>
      </c>
      <c r="L25" s="7">
        <f>IFERROR((Mods!L25+Mods!AA25)*Factors!L9/Factors!L39*Factors!$D$12,0)</f>
        <v>95.529227821923115</v>
      </c>
      <c r="M25" s="7">
        <f>IFERROR((Mods!M25+Mods!AB25)*Factors!M9/Factors!M39*Factors!$D$12,0)</f>
        <v>205.47382869599394</v>
      </c>
      <c r="N25" s="7">
        <f>IFERROR((Mods!N25+Mods!AC25)*Factors!N9/Factors!N39*Factors!$D$12,0)</f>
        <v>0</v>
      </c>
      <c r="O25" s="7">
        <f>IFERROR((Mods!O25+Mods!AD25)*Factors!O9/Factors!O39*Factors!$D$12,0)</f>
        <v>27.013878440815905</v>
      </c>
      <c r="P25" s="7">
        <f>IFERROR((Mods!P25+Mods!AE25)*Factors!P9/Factors!P39*Factors!$D$12,0)</f>
        <v>40.253948485610849</v>
      </c>
      <c r="Q25" s="7">
        <f>IFERROR((Mods!Q25+Mods!AF25)*Factors!Q9/Factors!Q39*Factors!$D$12,0)</f>
        <v>56.011727000591989</v>
      </c>
      <c r="R25" s="7">
        <f>IFERROR((Mods!R25+Mods!AG25)*Factors!R9/Factors!R39*Factors!$D$12,0)</f>
        <v>3.0248179421358858</v>
      </c>
      <c r="S25" s="7">
        <f t="shared" si="4"/>
        <v>974.37691003843327</v>
      </c>
    </row>
    <row r="26" spans="6:19" x14ac:dyDescent="0.45">
      <c r="F26" s="3">
        <f t="shared" si="3"/>
        <v>33</v>
      </c>
      <c r="G26" s="7">
        <f>IFERROR((Mods!G26+Mods!V26)*Factors!G10/Factors!G40*Factors!$D$12,0)</f>
        <v>168.07831651805589</v>
      </c>
      <c r="H26" s="7">
        <f>IFERROR((Mods!H26+Mods!W26)*Factors!H10/Factors!H40*Factors!$D$12,0)</f>
        <v>43.673610014418081</v>
      </c>
      <c r="I26" s="7">
        <f>IFERROR((Mods!I26+Mods!X26)*Factors!I10/Factors!I40*Factors!$D$12,0)</f>
        <v>275.21294626612564</v>
      </c>
      <c r="J26" s="7">
        <f>IFERROR((Mods!J26+Mods!Y26)*Factors!J10/Factors!J40*Factors!$D$12,0)</f>
        <v>113.18332712159737</v>
      </c>
      <c r="K26" s="7">
        <f>IFERROR((Mods!K26+Mods!Z26)*Factors!K10/Factors!K40*Factors!$D$12,0)</f>
        <v>43.437353785445971</v>
      </c>
      <c r="L26" s="7">
        <f>IFERROR((Mods!L26+Mods!AA26)*Factors!L10/Factors!L40*Factors!$D$12,0)</f>
        <v>32.851652446593569</v>
      </c>
      <c r="M26" s="7">
        <f>IFERROR((Mods!M26+Mods!AB26)*Factors!M10/Factors!M40*Factors!$D$12,0)</f>
        <v>17.506304325242382</v>
      </c>
      <c r="N26" s="7">
        <f>IFERROR((Mods!N26+Mods!AC26)*Factors!N10/Factors!N40*Factors!$D$12,0)</f>
        <v>26.361934135462448</v>
      </c>
      <c r="O26" s="7">
        <f>IFERROR((Mods!O26+Mods!AD26)*Factors!O10/Factors!O40*Factors!$D$12,0)</f>
        <v>0</v>
      </c>
      <c r="P26" s="7">
        <f>IFERROR((Mods!P26+Mods!AE26)*Factors!P10/Factors!P40*Factors!$D$12,0)</f>
        <v>3.9051802459404912</v>
      </c>
      <c r="Q26" s="7">
        <f>IFERROR((Mods!Q26+Mods!AF26)*Factors!Q10/Factors!Q40*Factors!$D$12,0)</f>
        <v>101.09659279596828</v>
      </c>
      <c r="R26" s="7">
        <f>IFERROR((Mods!R26+Mods!AG26)*Factors!R10/Factors!R40*Factors!$D$12,0)</f>
        <v>39.946105344270464</v>
      </c>
      <c r="S26" s="7">
        <f t="shared" si="4"/>
        <v>865.25332299912054</v>
      </c>
    </row>
    <row r="27" spans="6:19" x14ac:dyDescent="0.45">
      <c r="F27" s="3">
        <f t="shared" si="3"/>
        <v>30</v>
      </c>
      <c r="G27" s="7">
        <f>IFERROR((Mods!G27+Mods!V27)*Factors!G11/Factors!G41*Factors!$D$12,0)</f>
        <v>21.404146932627565</v>
      </c>
      <c r="H27" s="7">
        <f>IFERROR((Mods!H27+Mods!W27)*Factors!H11/Factors!H41*Factors!$D$12,0)</f>
        <v>76.690905145668864</v>
      </c>
      <c r="I27" s="7">
        <f>IFERROR((Mods!I27+Mods!X27)*Factors!I11/Factors!I41*Factors!$D$12,0)</f>
        <v>118.25060566658125</v>
      </c>
      <c r="J27" s="7">
        <f>IFERROR((Mods!J27+Mods!Y27)*Factors!J11/Factors!J41*Factors!$D$12,0)</f>
        <v>76.064601449842229</v>
      </c>
      <c r="K27" s="7">
        <f>IFERROR((Mods!K27+Mods!Z27)*Factors!K11/Factors!K41*Factors!$D$12,0)</f>
        <v>75.267660849818071</v>
      </c>
      <c r="L27" s="7">
        <f>IFERROR((Mods!L27+Mods!AA27)*Factors!L11/Factors!L41*Factors!$D$12,0)</f>
        <v>126.18069134413736</v>
      </c>
      <c r="M27" s="7">
        <f>IFERROR((Mods!M27+Mods!AB27)*Factors!M11/Factors!M41*Factors!$D$12,0)</f>
        <v>59.62832621062018</v>
      </c>
      <c r="N27" s="7">
        <f>IFERROR((Mods!N27+Mods!AC27)*Factors!N11/Factors!N41*Factors!$D$12,0)</f>
        <v>40.189363842528202</v>
      </c>
      <c r="O27" s="7">
        <f>IFERROR((Mods!O27+Mods!AD27)*Factors!O11/Factors!O41*Factors!$D$12,0)</f>
        <v>4.0060579130792195</v>
      </c>
      <c r="P27" s="7">
        <f>IFERROR((Mods!P27+Mods!AE27)*Factors!P11/Factors!P41*Factors!$D$12,0)</f>
        <v>0</v>
      </c>
      <c r="Q27" s="7">
        <f>IFERROR((Mods!Q27+Mods!AF27)*Factors!Q11/Factors!Q41*Factors!$D$12,0)</f>
        <v>371.79867314045777</v>
      </c>
      <c r="R27" s="7">
        <f>IFERROR((Mods!R27+Mods!AG27)*Factors!R11/Factors!R41*Factors!$D$12,0)</f>
        <v>76.121545804907143</v>
      </c>
      <c r="S27" s="7">
        <f t="shared" si="4"/>
        <v>1045.6025783002679</v>
      </c>
    </row>
    <row r="28" spans="6:19" x14ac:dyDescent="0.45">
      <c r="F28" s="3">
        <f t="shared" si="3"/>
        <v>18</v>
      </c>
      <c r="G28" s="7">
        <f>IFERROR((Mods!G28+Mods!V28)*Factors!G12/Factors!G42*Factors!$D$12,0)</f>
        <v>428.44062754140344</v>
      </c>
      <c r="H28" s="7">
        <f>IFERROR((Mods!H28+Mods!W28)*Factors!H12/Factors!H42*Factors!$D$12,0)</f>
        <v>8.3952505226676326</v>
      </c>
      <c r="I28" s="7">
        <f>IFERROR((Mods!I28+Mods!X28)*Factors!I12/Factors!I42*Factors!$D$12,0)</f>
        <v>31.686453890396955</v>
      </c>
      <c r="J28" s="7">
        <f>IFERROR((Mods!J28+Mods!Y28)*Factors!J12/Factors!J42*Factors!$D$12,0)</f>
        <v>129.24091411633222</v>
      </c>
      <c r="K28" s="7">
        <f>IFERROR((Mods!K28+Mods!Z28)*Factors!K12/Factors!K42*Factors!$D$12,0)</f>
        <v>18.478084898729723</v>
      </c>
      <c r="L28" s="7">
        <f>IFERROR((Mods!L28+Mods!AA28)*Factors!L12/Factors!L42*Factors!$D$12,0)</f>
        <v>59.064798843201366</v>
      </c>
      <c r="M28" s="7">
        <f>IFERROR((Mods!M28+Mods!AB28)*Factors!M12/Factors!M42*Factors!$D$12,0)</f>
        <v>373.75969506860298</v>
      </c>
      <c r="N28" s="7">
        <f>IFERROR((Mods!N28+Mods!AC28)*Factors!N12/Factors!N42*Factors!$D$12,0)</f>
        <v>56.332102935080478</v>
      </c>
      <c r="O28" s="7">
        <f>IFERROR((Mods!O28+Mods!AD28)*Factors!O12/Factors!O42*Factors!$D$12,0)</f>
        <v>103.69697128040315</v>
      </c>
      <c r="P28" s="7">
        <f>IFERROR((Mods!P28+Mods!AE28)*Factors!P12/Factors!P42*Factors!$D$12,0)</f>
        <v>374.22682942648828</v>
      </c>
      <c r="Q28" s="7">
        <f>IFERROR((Mods!Q28+Mods!AF28)*Factors!Q12/Factors!Q42*Factors!$D$12,0)</f>
        <v>0</v>
      </c>
      <c r="R28" s="7">
        <f>IFERROR((Mods!R28+Mods!AG28)*Factors!R12/Factors!R42*Factors!$D$12,0)</f>
        <v>149.53602127606845</v>
      </c>
      <c r="S28" s="7">
        <f t="shared" si="4"/>
        <v>1732.8577497993747</v>
      </c>
    </row>
    <row r="29" spans="6:19" x14ac:dyDescent="0.45">
      <c r="F29" s="3">
        <f t="shared" si="3"/>
        <v>40</v>
      </c>
      <c r="G29" s="7">
        <f>IFERROR((Mods!G29+Mods!V29)*Factors!G13/Factors!G43*Factors!$D$12,0)</f>
        <v>53.850444755990772</v>
      </c>
      <c r="H29" s="7">
        <f>IFERROR((Mods!H29+Mods!W29)*Factors!H13/Factors!H43*Factors!$D$12,0)</f>
        <v>101.05789917202775</v>
      </c>
      <c r="I29" s="7">
        <f>IFERROR((Mods!I29+Mods!X29)*Factors!I13/Factors!I43*Factors!$D$12,0)</f>
        <v>258.90647786374853</v>
      </c>
      <c r="J29" s="7">
        <f>IFERROR((Mods!J29+Mods!Y29)*Factors!J13/Factors!J43*Factors!$D$12,0)</f>
        <v>238.55696364573978</v>
      </c>
      <c r="K29" s="7">
        <f>IFERROR((Mods!K29+Mods!Z29)*Factors!K13/Factors!K43*Factors!$D$12,0)</f>
        <v>16.793790616579138</v>
      </c>
      <c r="L29" s="7">
        <f>IFERROR((Mods!L29+Mods!AA29)*Factors!L13/Factors!L43*Factors!$D$12,0)</f>
        <v>76.004234609229599</v>
      </c>
      <c r="M29" s="7">
        <f>IFERROR((Mods!M29+Mods!AB29)*Factors!M13/Factors!M43*Factors!$D$12,0)</f>
        <v>140.56869010520666</v>
      </c>
      <c r="N29" s="7">
        <f>IFERROR((Mods!N29+Mods!AC29)*Factors!N13/Factors!N43*Factors!$D$12,0)</f>
        <v>3.0006017301022072</v>
      </c>
      <c r="O29" s="7">
        <f>IFERROR((Mods!O29+Mods!AD29)*Factors!O13/Factors!O43*Factors!$D$12,0)</f>
        <v>40.650999728837547</v>
      </c>
      <c r="P29" s="7">
        <f>IFERROR((Mods!P29+Mods!AE29)*Factors!P13/Factors!P43*Factors!$D$12,0)</f>
        <v>75.728940899436068</v>
      </c>
      <c r="Q29" s="7">
        <f>IFERROR((Mods!Q29+Mods!AF29)*Factors!Q13/Factors!Q43*Factors!$D$12,0)</f>
        <v>147.61579228257298</v>
      </c>
      <c r="R29" s="7">
        <f>IFERROR((Mods!R29+Mods!AG29)*Factors!R13/Factors!R43*Factors!$D$12,0)</f>
        <v>0</v>
      </c>
      <c r="S29" s="7">
        <f t="shared" si="4"/>
        <v>1152.7348354094709</v>
      </c>
    </row>
    <row r="30" spans="6:19" x14ac:dyDescent="0.45">
      <c r="F30" s="3" t="s">
        <v>329</v>
      </c>
      <c r="G30" s="7">
        <f>SUM(G18:G29)</f>
        <v>1667.8760102129102</v>
      </c>
      <c r="H30" s="7">
        <f t="shared" ref="H30:R30" si="5">SUM(H18:H29)</f>
        <v>859.12495697198528</v>
      </c>
      <c r="I30" s="7">
        <f t="shared" si="5"/>
        <v>1251.5444501513693</v>
      </c>
      <c r="J30" s="7">
        <f t="shared" si="5"/>
        <v>1244.2067528161895</v>
      </c>
      <c r="K30" s="7">
        <f t="shared" si="5"/>
        <v>1123.7457169513907</v>
      </c>
      <c r="L30" s="7">
        <f t="shared" si="5"/>
        <v>696.74301290557435</v>
      </c>
      <c r="M30" s="7">
        <f t="shared" si="5"/>
        <v>2108.8964655636983</v>
      </c>
      <c r="N30" s="7">
        <f t="shared" si="5"/>
        <v>973.15195934526355</v>
      </c>
      <c r="O30" s="7">
        <f t="shared" si="5"/>
        <v>884.07032629426874</v>
      </c>
      <c r="P30" s="7">
        <f t="shared" si="5"/>
        <v>1047.3124830798229</v>
      </c>
      <c r="Q30" s="7">
        <f t="shared" si="5"/>
        <v>1716.328107761188</v>
      </c>
      <c r="R30" s="7">
        <f t="shared" si="5"/>
        <v>1158.5683364780807</v>
      </c>
      <c r="S30" s="7">
        <f t="shared" si="4"/>
        <v>14731.56857853174</v>
      </c>
    </row>
  </sheetData>
  <mergeCells count="1">
    <mergeCell ref="A6:D10"/>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5472D-4926-4AD3-8ADC-F7B36229E9FC}">
  <sheetPr codeName="UpLinks"/>
  <dimension ref="A1:BF133"/>
  <sheetViews>
    <sheetView zoomScale="55" zoomScaleNormal="55" workbookViewId="0">
      <selection activeCell="M15" sqref="M15"/>
    </sheetView>
  </sheetViews>
  <sheetFormatPr defaultColWidth="13.06640625" defaultRowHeight="14.25" x14ac:dyDescent="0.45"/>
  <cols>
    <col min="1" max="5" width="13.06640625" style="1"/>
    <col min="6" max="6" width="7.73046875" style="1" bestFit="1" customWidth="1"/>
    <col min="7" max="7" width="10.796875" style="1" bestFit="1" customWidth="1"/>
    <col min="8" max="8" width="8.53125" style="1" bestFit="1" customWidth="1"/>
    <col min="9" max="9" width="9" style="1" bestFit="1" customWidth="1"/>
    <col min="10" max="10" width="10.33203125" style="1" bestFit="1" customWidth="1"/>
    <col min="11" max="11" width="15.265625" style="1" bestFit="1" customWidth="1"/>
    <col min="12" max="12" width="10.796875" style="1" bestFit="1" customWidth="1"/>
    <col min="13" max="13" width="10.796875" style="1" customWidth="1"/>
    <col min="14" max="14" width="3.33203125" style="1" bestFit="1" customWidth="1"/>
    <col min="15" max="58" width="3.06640625" style="1" bestFit="1" customWidth="1"/>
    <col min="59" max="16384" width="13.06640625" style="1"/>
  </cols>
  <sheetData>
    <row r="1" spans="1:58" x14ac:dyDescent="0.45">
      <c r="A1" s="4" t="s">
        <v>295</v>
      </c>
      <c r="B1" s="4" t="s">
        <v>296</v>
      </c>
      <c r="C1" s="4" t="s">
        <v>297</v>
      </c>
      <c r="D1" s="4" t="s">
        <v>298</v>
      </c>
      <c r="F1" s="4" t="s">
        <v>51</v>
      </c>
      <c r="G1" s="4" t="s">
        <v>53</v>
      </c>
      <c r="H1" s="4" t="s">
        <v>55</v>
      </c>
      <c r="I1" s="4" t="s">
        <v>64</v>
      </c>
      <c r="J1" s="4" t="s">
        <v>66</v>
      </c>
      <c r="K1" s="4" t="s">
        <v>252</v>
      </c>
      <c r="L1" s="4" t="s">
        <v>254</v>
      </c>
      <c r="M1"/>
      <c r="N1" s="4" t="s">
        <v>256</v>
      </c>
      <c r="O1" s="3">
        <v>1</v>
      </c>
      <c r="P1" s="3">
        <v>2</v>
      </c>
      <c r="Q1" s="3">
        <v>3</v>
      </c>
      <c r="R1" s="3">
        <v>4</v>
      </c>
      <c r="S1" s="3">
        <v>5</v>
      </c>
      <c r="T1" s="3">
        <v>6</v>
      </c>
      <c r="U1" s="3">
        <v>7</v>
      </c>
      <c r="V1" s="3">
        <v>8</v>
      </c>
      <c r="W1" s="3">
        <v>9</v>
      </c>
      <c r="X1" s="3">
        <v>10</v>
      </c>
      <c r="Y1" s="3">
        <v>11</v>
      </c>
      <c r="Z1" s="3">
        <v>12</v>
      </c>
      <c r="AA1" s="3">
        <v>13</v>
      </c>
      <c r="AB1" s="3">
        <v>14</v>
      </c>
      <c r="AC1" s="3">
        <v>15</v>
      </c>
      <c r="AD1" s="3">
        <v>16</v>
      </c>
      <c r="AE1" s="3">
        <v>17</v>
      </c>
      <c r="AF1" s="3">
        <v>18</v>
      </c>
      <c r="AG1" s="3">
        <v>19</v>
      </c>
      <c r="AH1" s="3">
        <v>20</v>
      </c>
      <c r="AI1" s="3">
        <v>21</v>
      </c>
      <c r="AJ1" s="3">
        <v>22</v>
      </c>
      <c r="AK1" s="3">
        <v>23</v>
      </c>
      <c r="AL1" s="3">
        <v>24</v>
      </c>
      <c r="AM1" s="3">
        <v>25</v>
      </c>
      <c r="AN1" s="3">
        <v>26</v>
      </c>
      <c r="AO1" s="3">
        <v>27</v>
      </c>
      <c r="AP1" s="3">
        <v>28</v>
      </c>
      <c r="AQ1" s="3">
        <v>29</v>
      </c>
      <c r="AR1" s="3">
        <v>30</v>
      </c>
      <c r="AS1" s="3">
        <v>31</v>
      </c>
      <c r="AT1" s="3">
        <v>32</v>
      </c>
      <c r="AU1" s="3">
        <v>33</v>
      </c>
      <c r="AV1" s="3">
        <v>34</v>
      </c>
      <c r="AW1" s="3">
        <v>35</v>
      </c>
      <c r="AX1" s="3">
        <v>36</v>
      </c>
      <c r="AY1" s="3">
        <v>37</v>
      </c>
      <c r="AZ1" s="3">
        <v>38</v>
      </c>
      <c r="BA1" s="3">
        <v>39</v>
      </c>
      <c r="BB1" s="3">
        <v>40</v>
      </c>
      <c r="BC1" s="3">
        <v>41</v>
      </c>
      <c r="BD1" s="3">
        <v>42</v>
      </c>
      <c r="BE1" s="3">
        <v>43</v>
      </c>
      <c r="BF1" s="3">
        <v>44</v>
      </c>
    </row>
    <row r="2" spans="1:58" x14ac:dyDescent="0.45">
      <c r="A2" s="5" t="s">
        <v>51</v>
      </c>
      <c r="B2" s="1" t="s">
        <v>17</v>
      </c>
      <c r="C2" s="1" t="s">
        <v>299</v>
      </c>
      <c r="F2" s="1">
        <f>NetNum!J2</f>
        <v>1</v>
      </c>
      <c r="G2" s="1">
        <f>NetNum!K2</f>
        <v>1</v>
      </c>
      <c r="H2" s="1">
        <f>NetNum!L2</f>
        <v>9</v>
      </c>
      <c r="I2" s="1">
        <f>NetNum!Q2</f>
        <v>4000</v>
      </c>
      <c r="J2" s="6">
        <f>NetNum!R2</f>
        <v>2.5</v>
      </c>
      <c r="K2" s="7">
        <v>0</v>
      </c>
      <c r="L2" s="6">
        <f t="shared" ref="L2" si="0">J2*(1+$D$10*((K2/I2)^$D$11))</f>
        <v>2.5</v>
      </c>
      <c r="N2" s="3">
        <v>1</v>
      </c>
      <c r="O2" s="7">
        <v>99</v>
      </c>
      <c r="P2" s="7">
        <v>99</v>
      </c>
      <c r="Q2" s="7">
        <v>99</v>
      </c>
      <c r="R2" s="7">
        <v>99</v>
      </c>
      <c r="S2" s="7">
        <v>99</v>
      </c>
      <c r="T2" s="7">
        <v>99</v>
      </c>
      <c r="U2" s="7">
        <v>99</v>
      </c>
      <c r="V2" s="7">
        <v>99</v>
      </c>
      <c r="W2" s="7">
        <v>2.5</v>
      </c>
      <c r="X2" s="7">
        <v>99</v>
      </c>
      <c r="Y2" s="7">
        <v>99</v>
      </c>
      <c r="Z2" s="7">
        <v>99</v>
      </c>
      <c r="AA2" s="7">
        <v>99</v>
      </c>
      <c r="AB2" s="7">
        <v>99</v>
      </c>
      <c r="AC2" s="7">
        <v>99</v>
      </c>
      <c r="AD2" s="7">
        <v>99</v>
      </c>
      <c r="AE2" s="7">
        <v>99</v>
      </c>
      <c r="AF2" s="7">
        <v>99</v>
      </c>
      <c r="AG2" s="7">
        <v>99</v>
      </c>
      <c r="AH2" s="7">
        <v>99</v>
      </c>
      <c r="AI2" s="7">
        <v>99</v>
      </c>
      <c r="AJ2" s="7">
        <v>99</v>
      </c>
      <c r="AK2" s="7">
        <v>99</v>
      </c>
      <c r="AL2" s="7">
        <v>99</v>
      </c>
      <c r="AM2" s="7">
        <v>99</v>
      </c>
      <c r="AN2" s="7">
        <v>99</v>
      </c>
      <c r="AO2" s="7">
        <v>99</v>
      </c>
      <c r="AP2" s="7">
        <v>99</v>
      </c>
      <c r="AQ2" s="7">
        <v>99</v>
      </c>
      <c r="AR2" s="7">
        <v>99</v>
      </c>
      <c r="AS2" s="7">
        <v>99</v>
      </c>
      <c r="AT2" s="7">
        <v>99</v>
      </c>
      <c r="AU2" s="7">
        <v>99</v>
      </c>
      <c r="AV2" s="7">
        <v>99</v>
      </c>
      <c r="AW2" s="7">
        <v>99</v>
      </c>
      <c r="AX2" s="7">
        <v>99</v>
      </c>
      <c r="AY2" s="7">
        <v>99</v>
      </c>
      <c r="AZ2" s="7">
        <v>99</v>
      </c>
      <c r="BA2" s="7">
        <v>99</v>
      </c>
      <c r="BB2" s="7">
        <v>99</v>
      </c>
      <c r="BC2" s="7">
        <v>99</v>
      </c>
      <c r="BD2" s="7">
        <v>99</v>
      </c>
      <c r="BE2" s="7">
        <v>99</v>
      </c>
      <c r="BF2" s="7">
        <v>99</v>
      </c>
    </row>
    <row r="3" spans="1:58" x14ac:dyDescent="0.45">
      <c r="A3" s="5" t="s">
        <v>53</v>
      </c>
      <c r="B3" s="1" t="s">
        <v>17</v>
      </c>
      <c r="C3" s="1" t="s">
        <v>300</v>
      </c>
      <c r="F3" s="1">
        <f>NetNum!J3</f>
        <v>2</v>
      </c>
      <c r="G3" s="1">
        <f>NetNum!K3</f>
        <v>2</v>
      </c>
      <c r="H3" s="1">
        <f>NetNum!L3</f>
        <v>10</v>
      </c>
      <c r="I3" s="1">
        <f>NetNum!Q3</f>
        <v>3500</v>
      </c>
      <c r="J3" s="6">
        <f>NetNum!R3</f>
        <v>2.7272727272727275</v>
      </c>
      <c r="K3" s="7">
        <v>0</v>
      </c>
      <c r="L3" s="6">
        <f t="shared" ref="L3:L66" si="1">J3*(1+$D$10*((K3/I3)^$D$11))</f>
        <v>2.7272727272727275</v>
      </c>
      <c r="N3" s="3">
        <v>2</v>
      </c>
      <c r="O3" s="7">
        <v>99</v>
      </c>
      <c r="P3" s="7">
        <v>99</v>
      </c>
      <c r="Q3" s="7">
        <v>99</v>
      </c>
      <c r="R3" s="7">
        <v>99</v>
      </c>
      <c r="S3" s="7">
        <v>99</v>
      </c>
      <c r="T3" s="7">
        <v>99</v>
      </c>
      <c r="U3" s="7">
        <v>99</v>
      </c>
      <c r="V3" s="7">
        <v>99</v>
      </c>
      <c r="W3" s="7">
        <v>99</v>
      </c>
      <c r="X3" s="7">
        <v>2.7272727272727275</v>
      </c>
      <c r="Y3" s="7">
        <v>99</v>
      </c>
      <c r="Z3" s="7">
        <v>99</v>
      </c>
      <c r="AA3" s="7">
        <v>99</v>
      </c>
      <c r="AB3" s="7">
        <v>99</v>
      </c>
      <c r="AC3" s="7">
        <v>99</v>
      </c>
      <c r="AD3" s="7">
        <v>99</v>
      </c>
      <c r="AE3" s="7">
        <v>99</v>
      </c>
      <c r="AF3" s="7">
        <v>99</v>
      </c>
      <c r="AG3" s="7">
        <v>99</v>
      </c>
      <c r="AH3" s="7">
        <v>99</v>
      </c>
      <c r="AI3" s="7">
        <v>99</v>
      </c>
      <c r="AJ3" s="7">
        <v>99</v>
      </c>
      <c r="AK3" s="7">
        <v>99</v>
      </c>
      <c r="AL3" s="7">
        <v>99</v>
      </c>
      <c r="AM3" s="7">
        <v>99</v>
      </c>
      <c r="AN3" s="7">
        <v>99</v>
      </c>
      <c r="AO3" s="7">
        <v>99</v>
      </c>
      <c r="AP3" s="7">
        <v>99</v>
      </c>
      <c r="AQ3" s="7">
        <v>99</v>
      </c>
      <c r="AR3" s="7">
        <v>99</v>
      </c>
      <c r="AS3" s="7">
        <v>99</v>
      </c>
      <c r="AT3" s="7">
        <v>99</v>
      </c>
      <c r="AU3" s="7">
        <v>99</v>
      </c>
      <c r="AV3" s="7">
        <v>99</v>
      </c>
      <c r="AW3" s="7">
        <v>99</v>
      </c>
      <c r="AX3" s="7">
        <v>99</v>
      </c>
      <c r="AY3" s="7">
        <v>99</v>
      </c>
      <c r="AZ3" s="7">
        <v>99</v>
      </c>
      <c r="BA3" s="7">
        <v>99</v>
      </c>
      <c r="BB3" s="7">
        <v>99</v>
      </c>
      <c r="BC3" s="7">
        <v>99</v>
      </c>
      <c r="BD3" s="7">
        <v>99</v>
      </c>
      <c r="BE3" s="7">
        <v>99</v>
      </c>
      <c r="BF3" s="7">
        <v>99</v>
      </c>
    </row>
    <row r="4" spans="1:58" x14ac:dyDescent="0.45">
      <c r="A4" s="5" t="s">
        <v>55</v>
      </c>
      <c r="B4" s="1" t="s">
        <v>17</v>
      </c>
      <c r="C4" s="1" t="s">
        <v>301</v>
      </c>
      <c r="F4" s="1">
        <f>NetNum!J4</f>
        <v>3</v>
      </c>
      <c r="G4" s="1">
        <f>NetNum!K4</f>
        <v>3</v>
      </c>
      <c r="H4" s="1">
        <f>NetNum!L4</f>
        <v>14</v>
      </c>
      <c r="I4" s="1">
        <f>NetNum!Q4</f>
        <v>3500</v>
      </c>
      <c r="J4" s="6">
        <f>NetNum!R4</f>
        <v>2.7272727272727275</v>
      </c>
      <c r="K4" s="7">
        <v>0</v>
      </c>
      <c r="L4" s="6">
        <f t="shared" si="1"/>
        <v>2.7272727272727275</v>
      </c>
      <c r="N4" s="3">
        <v>3</v>
      </c>
      <c r="O4" s="7">
        <v>99</v>
      </c>
      <c r="P4" s="7">
        <v>99</v>
      </c>
      <c r="Q4" s="7">
        <v>99</v>
      </c>
      <c r="R4" s="7">
        <v>99</v>
      </c>
      <c r="S4" s="7">
        <v>99</v>
      </c>
      <c r="T4" s="7">
        <v>99</v>
      </c>
      <c r="U4" s="7">
        <v>99</v>
      </c>
      <c r="V4" s="7">
        <v>99</v>
      </c>
      <c r="W4" s="7">
        <v>99</v>
      </c>
      <c r="X4" s="7">
        <v>99</v>
      </c>
      <c r="Y4" s="7">
        <v>99</v>
      </c>
      <c r="Z4" s="7">
        <v>99</v>
      </c>
      <c r="AA4" s="7">
        <v>99</v>
      </c>
      <c r="AB4" s="7">
        <v>2.7272727272727275</v>
      </c>
      <c r="AC4" s="7">
        <v>99</v>
      </c>
      <c r="AD4" s="7">
        <v>99</v>
      </c>
      <c r="AE4" s="7">
        <v>99</v>
      </c>
      <c r="AF4" s="7">
        <v>99</v>
      </c>
      <c r="AG4" s="7">
        <v>99</v>
      </c>
      <c r="AH4" s="7">
        <v>99</v>
      </c>
      <c r="AI4" s="7">
        <v>99</v>
      </c>
      <c r="AJ4" s="7">
        <v>99</v>
      </c>
      <c r="AK4" s="7">
        <v>99</v>
      </c>
      <c r="AL4" s="7">
        <v>99</v>
      </c>
      <c r="AM4" s="7">
        <v>99</v>
      </c>
      <c r="AN4" s="7">
        <v>99</v>
      </c>
      <c r="AO4" s="7">
        <v>99</v>
      </c>
      <c r="AP4" s="7">
        <v>99</v>
      </c>
      <c r="AQ4" s="7">
        <v>99</v>
      </c>
      <c r="AR4" s="7">
        <v>99</v>
      </c>
      <c r="AS4" s="7">
        <v>99</v>
      </c>
      <c r="AT4" s="7">
        <v>99</v>
      </c>
      <c r="AU4" s="7">
        <v>99</v>
      </c>
      <c r="AV4" s="7">
        <v>99</v>
      </c>
      <c r="AW4" s="7">
        <v>99</v>
      </c>
      <c r="AX4" s="7">
        <v>99</v>
      </c>
      <c r="AY4" s="7">
        <v>99</v>
      </c>
      <c r="AZ4" s="7">
        <v>99</v>
      </c>
      <c r="BA4" s="7">
        <v>99</v>
      </c>
      <c r="BB4" s="7">
        <v>99</v>
      </c>
      <c r="BC4" s="7">
        <v>99</v>
      </c>
      <c r="BD4" s="7">
        <v>99</v>
      </c>
      <c r="BE4" s="7">
        <v>99</v>
      </c>
      <c r="BF4" s="7">
        <v>99</v>
      </c>
    </row>
    <row r="5" spans="1:58" x14ac:dyDescent="0.45">
      <c r="A5" s="5" t="s">
        <v>64</v>
      </c>
      <c r="B5" s="1" t="s">
        <v>17</v>
      </c>
      <c r="C5" s="1" t="s">
        <v>302</v>
      </c>
      <c r="F5" s="1">
        <f>NetNum!J5</f>
        <v>4</v>
      </c>
      <c r="G5" s="1">
        <f>NetNum!K5</f>
        <v>4</v>
      </c>
      <c r="H5" s="1">
        <f>NetNum!L5</f>
        <v>16</v>
      </c>
      <c r="I5" s="1">
        <f>NetNum!Q5</f>
        <v>3500</v>
      </c>
      <c r="J5" s="6">
        <f>NetNum!R5</f>
        <v>2.7272727272727275</v>
      </c>
      <c r="K5" s="7">
        <v>0</v>
      </c>
      <c r="L5" s="6">
        <f t="shared" si="1"/>
        <v>2.7272727272727275</v>
      </c>
      <c r="N5" s="3">
        <v>4</v>
      </c>
      <c r="O5" s="7">
        <v>99</v>
      </c>
      <c r="P5" s="7">
        <v>99</v>
      </c>
      <c r="Q5" s="7">
        <v>99</v>
      </c>
      <c r="R5" s="7">
        <v>99</v>
      </c>
      <c r="S5" s="7">
        <v>99</v>
      </c>
      <c r="T5" s="7">
        <v>99</v>
      </c>
      <c r="U5" s="7">
        <v>99</v>
      </c>
      <c r="V5" s="7">
        <v>99</v>
      </c>
      <c r="W5" s="7">
        <v>99</v>
      </c>
      <c r="X5" s="7">
        <v>99</v>
      </c>
      <c r="Y5" s="7">
        <v>99</v>
      </c>
      <c r="Z5" s="7">
        <v>99</v>
      </c>
      <c r="AA5" s="7">
        <v>99</v>
      </c>
      <c r="AB5" s="7">
        <v>99</v>
      </c>
      <c r="AC5" s="7">
        <v>99</v>
      </c>
      <c r="AD5" s="7">
        <v>2.7272727272727275</v>
      </c>
      <c r="AE5" s="7">
        <v>99</v>
      </c>
      <c r="AF5" s="7">
        <v>99</v>
      </c>
      <c r="AG5" s="7">
        <v>99</v>
      </c>
      <c r="AH5" s="7">
        <v>99</v>
      </c>
      <c r="AI5" s="7">
        <v>99</v>
      </c>
      <c r="AJ5" s="7">
        <v>99</v>
      </c>
      <c r="AK5" s="7">
        <v>99</v>
      </c>
      <c r="AL5" s="7">
        <v>99</v>
      </c>
      <c r="AM5" s="7">
        <v>99</v>
      </c>
      <c r="AN5" s="7">
        <v>99</v>
      </c>
      <c r="AO5" s="7">
        <v>99</v>
      </c>
      <c r="AP5" s="7">
        <v>99</v>
      </c>
      <c r="AQ5" s="7">
        <v>99</v>
      </c>
      <c r="AR5" s="7">
        <v>99</v>
      </c>
      <c r="AS5" s="7">
        <v>99</v>
      </c>
      <c r="AT5" s="7">
        <v>99</v>
      </c>
      <c r="AU5" s="7">
        <v>99</v>
      </c>
      <c r="AV5" s="7">
        <v>99</v>
      </c>
      <c r="AW5" s="7">
        <v>99</v>
      </c>
      <c r="AX5" s="7">
        <v>99</v>
      </c>
      <c r="AY5" s="7">
        <v>99</v>
      </c>
      <c r="AZ5" s="7">
        <v>99</v>
      </c>
      <c r="BA5" s="7">
        <v>99</v>
      </c>
      <c r="BB5" s="7">
        <v>99</v>
      </c>
      <c r="BC5" s="7">
        <v>99</v>
      </c>
      <c r="BD5" s="7">
        <v>99</v>
      </c>
      <c r="BE5" s="7">
        <v>99</v>
      </c>
      <c r="BF5" s="7">
        <v>99</v>
      </c>
    </row>
    <row r="6" spans="1:58" x14ac:dyDescent="0.45">
      <c r="A6" s="5" t="s">
        <v>66</v>
      </c>
      <c r="B6" s="1" t="s">
        <v>17</v>
      </c>
      <c r="C6" s="1" t="s">
        <v>303</v>
      </c>
      <c r="F6" s="1">
        <f>NetNum!J6</f>
        <v>5</v>
      </c>
      <c r="G6" s="1">
        <f>NetNum!K6</f>
        <v>5</v>
      </c>
      <c r="H6" s="1">
        <f>NetNum!L6</f>
        <v>18</v>
      </c>
      <c r="I6" s="1">
        <f>NetNum!Q6</f>
        <v>3500</v>
      </c>
      <c r="J6" s="6">
        <f>NetNum!R6</f>
        <v>2.7272727272727275</v>
      </c>
      <c r="K6" s="7">
        <v>0</v>
      </c>
      <c r="L6" s="6">
        <f t="shared" si="1"/>
        <v>2.7272727272727275</v>
      </c>
      <c r="N6" s="3">
        <v>5</v>
      </c>
      <c r="O6" s="7">
        <v>99</v>
      </c>
      <c r="P6" s="7">
        <v>99</v>
      </c>
      <c r="Q6" s="7">
        <v>99</v>
      </c>
      <c r="R6" s="7">
        <v>99</v>
      </c>
      <c r="S6" s="7">
        <v>99</v>
      </c>
      <c r="T6" s="7">
        <v>99</v>
      </c>
      <c r="U6" s="7">
        <v>99</v>
      </c>
      <c r="V6" s="7">
        <v>99</v>
      </c>
      <c r="W6" s="7">
        <v>99</v>
      </c>
      <c r="X6" s="7">
        <v>99</v>
      </c>
      <c r="Y6" s="7">
        <v>99</v>
      </c>
      <c r="Z6" s="7">
        <v>99</v>
      </c>
      <c r="AA6" s="7">
        <v>99</v>
      </c>
      <c r="AB6" s="7">
        <v>99</v>
      </c>
      <c r="AC6" s="7">
        <v>99</v>
      </c>
      <c r="AD6" s="7">
        <v>99</v>
      </c>
      <c r="AE6" s="7">
        <v>99</v>
      </c>
      <c r="AF6" s="7">
        <v>2.7272727272727275</v>
      </c>
      <c r="AG6" s="7">
        <v>99</v>
      </c>
      <c r="AH6" s="7">
        <v>99</v>
      </c>
      <c r="AI6" s="7">
        <v>99</v>
      </c>
      <c r="AJ6" s="7">
        <v>99</v>
      </c>
      <c r="AK6" s="7">
        <v>99</v>
      </c>
      <c r="AL6" s="7">
        <v>99</v>
      </c>
      <c r="AM6" s="7">
        <v>99</v>
      </c>
      <c r="AN6" s="7">
        <v>99</v>
      </c>
      <c r="AO6" s="7">
        <v>99</v>
      </c>
      <c r="AP6" s="7">
        <v>99</v>
      </c>
      <c r="AQ6" s="7">
        <v>99</v>
      </c>
      <c r="AR6" s="7">
        <v>99</v>
      </c>
      <c r="AS6" s="7">
        <v>99</v>
      </c>
      <c r="AT6" s="7">
        <v>99</v>
      </c>
      <c r="AU6" s="7">
        <v>99</v>
      </c>
      <c r="AV6" s="7">
        <v>99</v>
      </c>
      <c r="AW6" s="7">
        <v>99</v>
      </c>
      <c r="AX6" s="7">
        <v>99</v>
      </c>
      <c r="AY6" s="7">
        <v>99</v>
      </c>
      <c r="AZ6" s="7">
        <v>99</v>
      </c>
      <c r="BA6" s="7">
        <v>99</v>
      </c>
      <c r="BB6" s="7">
        <v>99</v>
      </c>
      <c r="BC6" s="7">
        <v>99</v>
      </c>
      <c r="BD6" s="7">
        <v>99</v>
      </c>
      <c r="BE6" s="7">
        <v>99</v>
      </c>
      <c r="BF6" s="7">
        <v>99</v>
      </c>
    </row>
    <row r="7" spans="1:58" x14ac:dyDescent="0.45">
      <c r="A7" s="5" t="s">
        <v>252</v>
      </c>
      <c r="B7" s="1" t="s">
        <v>17</v>
      </c>
      <c r="C7" s="1" t="s">
        <v>304</v>
      </c>
      <c r="F7" s="1">
        <f>NetNum!J7</f>
        <v>6</v>
      </c>
      <c r="G7" s="1">
        <f>NetNum!K7</f>
        <v>6</v>
      </c>
      <c r="H7" s="1">
        <f>NetNum!L7</f>
        <v>19</v>
      </c>
      <c r="I7" s="1">
        <f>NetNum!Q7</f>
        <v>4000</v>
      </c>
      <c r="J7" s="6">
        <f>NetNum!R7</f>
        <v>2.5</v>
      </c>
      <c r="K7" s="7">
        <v>0</v>
      </c>
      <c r="L7" s="6">
        <f t="shared" si="1"/>
        <v>2.5</v>
      </c>
      <c r="N7" s="3">
        <v>6</v>
      </c>
      <c r="O7" s="7">
        <v>99</v>
      </c>
      <c r="P7" s="7">
        <v>99</v>
      </c>
      <c r="Q7" s="7">
        <v>99</v>
      </c>
      <c r="R7" s="7">
        <v>99</v>
      </c>
      <c r="S7" s="7">
        <v>99</v>
      </c>
      <c r="T7" s="7">
        <v>99</v>
      </c>
      <c r="U7" s="7">
        <v>99</v>
      </c>
      <c r="V7" s="7">
        <v>99</v>
      </c>
      <c r="W7" s="7">
        <v>99</v>
      </c>
      <c r="X7" s="7">
        <v>99</v>
      </c>
      <c r="Y7" s="7">
        <v>99</v>
      </c>
      <c r="Z7" s="7">
        <v>99</v>
      </c>
      <c r="AA7" s="7">
        <v>99</v>
      </c>
      <c r="AB7" s="7">
        <v>99</v>
      </c>
      <c r="AC7" s="7">
        <v>99</v>
      </c>
      <c r="AD7" s="7">
        <v>99</v>
      </c>
      <c r="AE7" s="7">
        <v>99</v>
      </c>
      <c r="AF7" s="7">
        <v>99</v>
      </c>
      <c r="AG7" s="7">
        <v>2.5</v>
      </c>
      <c r="AH7" s="7">
        <v>99</v>
      </c>
      <c r="AI7" s="7">
        <v>99</v>
      </c>
      <c r="AJ7" s="7">
        <v>99</v>
      </c>
      <c r="AK7" s="7">
        <v>99</v>
      </c>
      <c r="AL7" s="7">
        <v>99</v>
      </c>
      <c r="AM7" s="7">
        <v>99</v>
      </c>
      <c r="AN7" s="7">
        <v>99</v>
      </c>
      <c r="AO7" s="7">
        <v>99</v>
      </c>
      <c r="AP7" s="7">
        <v>99</v>
      </c>
      <c r="AQ7" s="7">
        <v>99</v>
      </c>
      <c r="AR7" s="7">
        <v>99</v>
      </c>
      <c r="AS7" s="7">
        <v>99</v>
      </c>
      <c r="AT7" s="7">
        <v>99</v>
      </c>
      <c r="AU7" s="7">
        <v>99</v>
      </c>
      <c r="AV7" s="7">
        <v>99</v>
      </c>
      <c r="AW7" s="7">
        <v>99</v>
      </c>
      <c r="AX7" s="7">
        <v>99</v>
      </c>
      <c r="AY7" s="7">
        <v>99</v>
      </c>
      <c r="AZ7" s="7">
        <v>99</v>
      </c>
      <c r="BA7" s="7">
        <v>99</v>
      </c>
      <c r="BB7" s="7">
        <v>99</v>
      </c>
      <c r="BC7" s="7">
        <v>99</v>
      </c>
      <c r="BD7" s="7">
        <v>99</v>
      </c>
      <c r="BE7" s="7">
        <v>99</v>
      </c>
      <c r="BF7" s="7">
        <v>99</v>
      </c>
    </row>
    <row r="8" spans="1:58" x14ac:dyDescent="0.45">
      <c r="A8" s="5" t="s">
        <v>254</v>
      </c>
      <c r="B8" s="1" t="s">
        <v>17</v>
      </c>
      <c r="C8" s="1" t="s">
        <v>305</v>
      </c>
      <c r="F8" s="1">
        <f>NetNum!J8</f>
        <v>7</v>
      </c>
      <c r="G8" s="1">
        <f>NetNum!K8</f>
        <v>7</v>
      </c>
      <c r="H8" s="1">
        <f>NetNum!L8</f>
        <v>21</v>
      </c>
      <c r="I8" s="1">
        <f>NetNum!Q8</f>
        <v>3500</v>
      </c>
      <c r="J8" s="6">
        <f>NetNum!R8</f>
        <v>2.7272727272727275</v>
      </c>
      <c r="K8" s="7">
        <v>0</v>
      </c>
      <c r="L8" s="6">
        <f t="shared" si="1"/>
        <v>2.7272727272727275</v>
      </c>
      <c r="N8" s="3">
        <v>7</v>
      </c>
      <c r="O8" s="7">
        <v>99</v>
      </c>
      <c r="P8" s="7">
        <v>99</v>
      </c>
      <c r="Q8" s="7">
        <v>99</v>
      </c>
      <c r="R8" s="7">
        <v>99</v>
      </c>
      <c r="S8" s="7">
        <v>99</v>
      </c>
      <c r="T8" s="7">
        <v>99</v>
      </c>
      <c r="U8" s="7">
        <v>99</v>
      </c>
      <c r="V8" s="7">
        <v>99</v>
      </c>
      <c r="W8" s="7">
        <v>99</v>
      </c>
      <c r="X8" s="7">
        <v>99</v>
      </c>
      <c r="Y8" s="7">
        <v>99</v>
      </c>
      <c r="Z8" s="7">
        <v>99</v>
      </c>
      <c r="AA8" s="7">
        <v>99</v>
      </c>
      <c r="AB8" s="7">
        <v>99</v>
      </c>
      <c r="AC8" s="7">
        <v>99</v>
      </c>
      <c r="AD8" s="7">
        <v>99</v>
      </c>
      <c r="AE8" s="7">
        <v>99</v>
      </c>
      <c r="AF8" s="7">
        <v>99</v>
      </c>
      <c r="AG8" s="7">
        <v>99</v>
      </c>
      <c r="AH8" s="7">
        <v>99</v>
      </c>
      <c r="AI8" s="7">
        <v>2.7272727272727275</v>
      </c>
      <c r="AJ8" s="7">
        <v>99</v>
      </c>
      <c r="AK8" s="7">
        <v>99</v>
      </c>
      <c r="AL8" s="7">
        <v>99</v>
      </c>
      <c r="AM8" s="7">
        <v>99</v>
      </c>
      <c r="AN8" s="7">
        <v>99</v>
      </c>
      <c r="AO8" s="7">
        <v>99</v>
      </c>
      <c r="AP8" s="7">
        <v>99</v>
      </c>
      <c r="AQ8" s="7">
        <v>99</v>
      </c>
      <c r="AR8" s="7">
        <v>99</v>
      </c>
      <c r="AS8" s="7">
        <v>99</v>
      </c>
      <c r="AT8" s="7">
        <v>99</v>
      </c>
      <c r="AU8" s="7">
        <v>99</v>
      </c>
      <c r="AV8" s="7">
        <v>99</v>
      </c>
      <c r="AW8" s="7">
        <v>99</v>
      </c>
      <c r="AX8" s="7">
        <v>99</v>
      </c>
      <c r="AY8" s="7">
        <v>99</v>
      </c>
      <c r="AZ8" s="7">
        <v>99</v>
      </c>
      <c r="BA8" s="7">
        <v>99</v>
      </c>
      <c r="BB8" s="7">
        <v>99</v>
      </c>
      <c r="BC8" s="7">
        <v>99</v>
      </c>
      <c r="BD8" s="7">
        <v>99</v>
      </c>
      <c r="BE8" s="7">
        <v>99</v>
      </c>
      <c r="BF8" s="7">
        <v>99</v>
      </c>
    </row>
    <row r="9" spans="1:58" x14ac:dyDescent="0.45">
      <c r="A9" s="5" t="s">
        <v>256</v>
      </c>
      <c r="B9" s="1" t="s">
        <v>17</v>
      </c>
      <c r="C9" s="1" t="s">
        <v>306</v>
      </c>
      <c r="F9" s="1">
        <f>NetNum!J9</f>
        <v>8</v>
      </c>
      <c r="G9" s="1">
        <f>NetNum!K9</f>
        <v>8</v>
      </c>
      <c r="H9" s="1">
        <f>NetNum!L9</f>
        <v>24</v>
      </c>
      <c r="I9" s="1">
        <f>NetNum!Q9</f>
        <v>3500</v>
      </c>
      <c r="J9" s="6">
        <f>NetNum!R9</f>
        <v>2.7272727272727275</v>
      </c>
      <c r="K9" s="7">
        <v>0</v>
      </c>
      <c r="L9" s="6">
        <f t="shared" si="1"/>
        <v>2.7272727272727275</v>
      </c>
      <c r="N9" s="3">
        <v>8</v>
      </c>
      <c r="O9" s="7">
        <v>99</v>
      </c>
      <c r="P9" s="7">
        <v>99</v>
      </c>
      <c r="Q9" s="7">
        <v>99</v>
      </c>
      <c r="R9" s="7">
        <v>99</v>
      </c>
      <c r="S9" s="7">
        <v>99</v>
      </c>
      <c r="T9" s="7">
        <v>99</v>
      </c>
      <c r="U9" s="7">
        <v>99</v>
      </c>
      <c r="V9" s="7">
        <v>99</v>
      </c>
      <c r="W9" s="7">
        <v>99</v>
      </c>
      <c r="X9" s="7">
        <v>99</v>
      </c>
      <c r="Y9" s="7">
        <v>99</v>
      </c>
      <c r="Z9" s="7">
        <v>99</v>
      </c>
      <c r="AA9" s="7">
        <v>99</v>
      </c>
      <c r="AB9" s="7">
        <v>99</v>
      </c>
      <c r="AC9" s="7">
        <v>99</v>
      </c>
      <c r="AD9" s="7">
        <v>99</v>
      </c>
      <c r="AE9" s="7">
        <v>99</v>
      </c>
      <c r="AF9" s="7">
        <v>99</v>
      </c>
      <c r="AG9" s="7">
        <v>99</v>
      </c>
      <c r="AH9" s="7">
        <v>99</v>
      </c>
      <c r="AI9" s="7">
        <v>99</v>
      </c>
      <c r="AJ9" s="7">
        <v>99</v>
      </c>
      <c r="AK9" s="7">
        <v>99</v>
      </c>
      <c r="AL9" s="7">
        <v>2.7272727272727275</v>
      </c>
      <c r="AM9" s="7">
        <v>99</v>
      </c>
      <c r="AN9" s="7">
        <v>99</v>
      </c>
      <c r="AO9" s="7">
        <v>99</v>
      </c>
      <c r="AP9" s="7">
        <v>99</v>
      </c>
      <c r="AQ9" s="7">
        <v>99</v>
      </c>
      <c r="AR9" s="7">
        <v>99</v>
      </c>
      <c r="AS9" s="7">
        <v>99</v>
      </c>
      <c r="AT9" s="7">
        <v>99</v>
      </c>
      <c r="AU9" s="7">
        <v>99</v>
      </c>
      <c r="AV9" s="7">
        <v>99</v>
      </c>
      <c r="AW9" s="7">
        <v>99</v>
      </c>
      <c r="AX9" s="7">
        <v>99</v>
      </c>
      <c r="AY9" s="7">
        <v>99</v>
      </c>
      <c r="AZ9" s="7">
        <v>99</v>
      </c>
      <c r="BA9" s="7">
        <v>99</v>
      </c>
      <c r="BB9" s="7">
        <v>99</v>
      </c>
      <c r="BC9" s="7">
        <v>99</v>
      </c>
      <c r="BD9" s="7">
        <v>99</v>
      </c>
      <c r="BE9" s="7">
        <v>99</v>
      </c>
      <c r="BF9" s="7">
        <v>99</v>
      </c>
    </row>
    <row r="10" spans="1:58" x14ac:dyDescent="0.45">
      <c r="A10" s="5" t="s">
        <v>258</v>
      </c>
      <c r="B10" s="1" t="s">
        <v>22</v>
      </c>
      <c r="C10" s="1" t="s">
        <v>320</v>
      </c>
      <c r="D10" s="15">
        <v>0.15</v>
      </c>
      <c r="F10" s="1">
        <f>NetNum!J10</f>
        <v>9</v>
      </c>
      <c r="G10" s="1">
        <f>NetNum!K10</f>
        <v>9</v>
      </c>
      <c r="H10" s="1">
        <f>NetNum!L10</f>
        <v>1</v>
      </c>
      <c r="I10" s="1">
        <f>NetNum!Q10</f>
        <v>4000</v>
      </c>
      <c r="J10" s="6">
        <f>NetNum!R10</f>
        <v>2.5</v>
      </c>
      <c r="K10" s="7">
        <v>0</v>
      </c>
      <c r="L10" s="6">
        <f t="shared" si="1"/>
        <v>2.5</v>
      </c>
      <c r="N10" s="3">
        <v>9</v>
      </c>
      <c r="O10" s="7">
        <v>2.5</v>
      </c>
      <c r="P10" s="7">
        <v>99</v>
      </c>
      <c r="Q10" s="7">
        <v>99</v>
      </c>
      <c r="R10" s="7">
        <v>99</v>
      </c>
      <c r="S10" s="7">
        <v>99</v>
      </c>
      <c r="T10" s="7">
        <v>99</v>
      </c>
      <c r="U10" s="7">
        <v>99</v>
      </c>
      <c r="V10" s="7">
        <v>99</v>
      </c>
      <c r="W10" s="7">
        <v>99</v>
      </c>
      <c r="X10" s="7">
        <v>1.6695149404545244</v>
      </c>
      <c r="Y10" s="7">
        <v>99</v>
      </c>
      <c r="Z10" s="7">
        <v>99</v>
      </c>
      <c r="AA10" s="7">
        <v>99</v>
      </c>
      <c r="AB10" s="7">
        <v>99</v>
      </c>
      <c r="AC10" s="7">
        <v>99</v>
      </c>
      <c r="AD10" s="7">
        <v>99</v>
      </c>
      <c r="AE10" s="7">
        <v>99</v>
      </c>
      <c r="AF10" s="7">
        <v>99</v>
      </c>
      <c r="AG10" s="7">
        <v>99</v>
      </c>
      <c r="AH10" s="7">
        <v>99</v>
      </c>
      <c r="AI10" s="7">
        <v>99</v>
      </c>
      <c r="AJ10" s="7">
        <v>99</v>
      </c>
      <c r="AK10" s="7">
        <v>99</v>
      </c>
      <c r="AL10" s="7">
        <v>7.9388610267962401</v>
      </c>
      <c r="AM10" s="7">
        <v>99</v>
      </c>
      <c r="AN10" s="7">
        <v>99</v>
      </c>
      <c r="AO10" s="7">
        <v>99</v>
      </c>
      <c r="AP10" s="7">
        <v>99</v>
      </c>
      <c r="AQ10" s="7">
        <v>99</v>
      </c>
      <c r="AR10" s="7">
        <v>99</v>
      </c>
      <c r="AS10" s="7">
        <v>99</v>
      </c>
      <c r="AT10" s="7">
        <v>99</v>
      </c>
      <c r="AU10" s="7">
        <v>99</v>
      </c>
      <c r="AV10" s="7">
        <v>99</v>
      </c>
      <c r="AW10" s="7">
        <v>99</v>
      </c>
      <c r="AX10" s="7">
        <v>99</v>
      </c>
      <c r="AY10" s="7">
        <v>99</v>
      </c>
      <c r="AZ10" s="7">
        <v>99</v>
      </c>
      <c r="BA10" s="7">
        <v>99</v>
      </c>
      <c r="BB10" s="7">
        <v>99</v>
      </c>
      <c r="BC10" s="7">
        <v>99</v>
      </c>
      <c r="BD10" s="7">
        <v>99</v>
      </c>
      <c r="BE10" s="7">
        <v>99</v>
      </c>
      <c r="BF10" s="7">
        <v>99</v>
      </c>
    </row>
    <row r="11" spans="1:58" x14ac:dyDescent="0.45">
      <c r="A11" s="5" t="s">
        <v>260</v>
      </c>
      <c r="B11" s="1" t="s">
        <v>22</v>
      </c>
      <c r="C11" s="1" t="s">
        <v>321</v>
      </c>
      <c r="D11" s="15">
        <v>4</v>
      </c>
      <c r="F11" s="1">
        <f>NetNum!J11</f>
        <v>10</v>
      </c>
      <c r="G11" s="1">
        <f>NetNum!K11</f>
        <v>9</v>
      </c>
      <c r="H11" s="1">
        <f>NetNum!L11</f>
        <v>10</v>
      </c>
      <c r="I11" s="1">
        <f>NetNum!Q11</f>
        <v>4000</v>
      </c>
      <c r="J11" s="6">
        <f>NetNum!R11</f>
        <v>1</v>
      </c>
      <c r="K11" s="7">
        <v>5814.0296842642265</v>
      </c>
      <c r="L11" s="6">
        <f t="shared" si="1"/>
        <v>1.6695149404545244</v>
      </c>
      <c r="N11" s="3">
        <v>10</v>
      </c>
      <c r="O11" s="7">
        <v>99</v>
      </c>
      <c r="P11" s="7">
        <v>2.7272727272727275</v>
      </c>
      <c r="Q11" s="7">
        <v>99</v>
      </c>
      <c r="R11" s="7">
        <v>99</v>
      </c>
      <c r="S11" s="7">
        <v>99</v>
      </c>
      <c r="T11" s="7">
        <v>99</v>
      </c>
      <c r="U11" s="7">
        <v>99</v>
      </c>
      <c r="V11" s="7">
        <v>99</v>
      </c>
      <c r="W11" s="7">
        <v>1.7438526469441755</v>
      </c>
      <c r="X11" s="7">
        <v>99</v>
      </c>
      <c r="Y11" s="7">
        <v>3.9525524669064858</v>
      </c>
      <c r="Z11" s="7">
        <v>99</v>
      </c>
      <c r="AA11" s="7">
        <v>99</v>
      </c>
      <c r="AB11" s="7">
        <v>99</v>
      </c>
      <c r="AC11" s="7">
        <v>99</v>
      </c>
      <c r="AD11" s="7">
        <v>99</v>
      </c>
      <c r="AE11" s="7">
        <v>99</v>
      </c>
      <c r="AF11" s="7">
        <v>99</v>
      </c>
      <c r="AG11" s="7">
        <v>99</v>
      </c>
      <c r="AH11" s="7">
        <v>99</v>
      </c>
      <c r="AI11" s="7">
        <v>99</v>
      </c>
      <c r="AJ11" s="7">
        <v>99</v>
      </c>
      <c r="AK11" s="7">
        <v>99</v>
      </c>
      <c r="AL11" s="7">
        <v>99</v>
      </c>
      <c r="AM11" s="7">
        <v>6.0000944917651351</v>
      </c>
      <c r="AN11" s="7">
        <v>99</v>
      </c>
      <c r="AO11" s="7">
        <v>99</v>
      </c>
      <c r="AP11" s="7">
        <v>99</v>
      </c>
      <c r="AQ11" s="7">
        <v>99</v>
      </c>
      <c r="AR11" s="7">
        <v>99</v>
      </c>
      <c r="AS11" s="7">
        <v>99</v>
      </c>
      <c r="AT11" s="7">
        <v>99</v>
      </c>
      <c r="AU11" s="7">
        <v>99</v>
      </c>
      <c r="AV11" s="7">
        <v>99</v>
      </c>
      <c r="AW11" s="7">
        <v>99</v>
      </c>
      <c r="AX11" s="7">
        <v>99</v>
      </c>
      <c r="AY11" s="7">
        <v>99</v>
      </c>
      <c r="AZ11" s="7">
        <v>99</v>
      </c>
      <c r="BA11" s="7">
        <v>99</v>
      </c>
      <c r="BB11" s="7">
        <v>99</v>
      </c>
      <c r="BC11" s="7">
        <v>99</v>
      </c>
      <c r="BD11" s="7">
        <v>99</v>
      </c>
      <c r="BE11" s="7">
        <v>99</v>
      </c>
      <c r="BF11" s="7">
        <v>99</v>
      </c>
    </row>
    <row r="12" spans="1:58" x14ac:dyDescent="0.45">
      <c r="F12" s="1">
        <f>NetNum!J12</f>
        <v>11</v>
      </c>
      <c r="G12" s="1">
        <f>NetNum!K12</f>
        <v>9</v>
      </c>
      <c r="H12" s="1">
        <f>NetNum!L12</f>
        <v>24</v>
      </c>
      <c r="I12" s="1">
        <f>NetNum!Q12</f>
        <v>4000</v>
      </c>
      <c r="J12" s="6">
        <f>NetNum!R12</f>
        <v>3</v>
      </c>
      <c r="K12" s="7">
        <v>7280.5395318776846</v>
      </c>
      <c r="L12" s="6">
        <f t="shared" si="1"/>
        <v>7.9388610267962401</v>
      </c>
      <c r="N12" s="3">
        <v>11</v>
      </c>
      <c r="O12" s="7">
        <v>99</v>
      </c>
      <c r="P12" s="7">
        <v>99</v>
      </c>
      <c r="Q12" s="7">
        <v>99</v>
      </c>
      <c r="R12" s="7">
        <v>99</v>
      </c>
      <c r="S12" s="7">
        <v>99</v>
      </c>
      <c r="T12" s="7">
        <v>99</v>
      </c>
      <c r="U12" s="7">
        <v>99</v>
      </c>
      <c r="V12" s="7">
        <v>99</v>
      </c>
      <c r="W12" s="7">
        <v>99</v>
      </c>
      <c r="X12" s="7">
        <v>3.9057563920033775</v>
      </c>
      <c r="Y12" s="7">
        <v>99</v>
      </c>
      <c r="Z12" s="7">
        <v>6.960704333551142</v>
      </c>
      <c r="AA12" s="7">
        <v>99</v>
      </c>
      <c r="AB12" s="7">
        <v>99</v>
      </c>
      <c r="AC12" s="7">
        <v>99</v>
      </c>
      <c r="AD12" s="7">
        <v>99</v>
      </c>
      <c r="AE12" s="7">
        <v>99</v>
      </c>
      <c r="AF12" s="7">
        <v>99</v>
      </c>
      <c r="AG12" s="7">
        <v>99</v>
      </c>
      <c r="AH12" s="7">
        <v>99</v>
      </c>
      <c r="AI12" s="7">
        <v>99</v>
      </c>
      <c r="AJ12" s="7">
        <v>99</v>
      </c>
      <c r="AK12" s="7">
        <v>99</v>
      </c>
      <c r="AL12" s="7">
        <v>99</v>
      </c>
      <c r="AM12" s="7">
        <v>99</v>
      </c>
      <c r="AN12" s="7">
        <v>7.9117114187427253</v>
      </c>
      <c r="AO12" s="7">
        <v>99</v>
      </c>
      <c r="AP12" s="7">
        <v>99</v>
      </c>
      <c r="AQ12" s="7">
        <v>99</v>
      </c>
      <c r="AR12" s="7">
        <v>99</v>
      </c>
      <c r="AS12" s="7">
        <v>99</v>
      </c>
      <c r="AT12" s="7">
        <v>99</v>
      </c>
      <c r="AU12" s="7">
        <v>99</v>
      </c>
      <c r="AV12" s="7">
        <v>99</v>
      </c>
      <c r="AW12" s="7">
        <v>99</v>
      </c>
      <c r="AX12" s="7">
        <v>99</v>
      </c>
      <c r="AY12" s="7">
        <v>99</v>
      </c>
      <c r="AZ12" s="7">
        <v>99</v>
      </c>
      <c r="BA12" s="7">
        <v>99</v>
      </c>
      <c r="BB12" s="7">
        <v>99</v>
      </c>
      <c r="BC12" s="7">
        <v>99</v>
      </c>
      <c r="BD12" s="7">
        <v>99</v>
      </c>
      <c r="BE12" s="7">
        <v>99</v>
      </c>
      <c r="BF12" s="7">
        <v>99</v>
      </c>
    </row>
    <row r="13" spans="1:58" x14ac:dyDescent="0.45">
      <c r="F13" s="1">
        <f>NetNum!J13</f>
        <v>12</v>
      </c>
      <c r="G13" s="1">
        <f>NetNum!K13</f>
        <v>10</v>
      </c>
      <c r="H13" s="1">
        <f>NetNum!L13</f>
        <v>2</v>
      </c>
      <c r="I13" s="1">
        <f>NetNum!Q13</f>
        <v>3500</v>
      </c>
      <c r="J13" s="6">
        <f>NetNum!R13</f>
        <v>2.7272727272727275</v>
      </c>
      <c r="K13" s="7">
        <v>0</v>
      </c>
      <c r="L13" s="6">
        <f t="shared" si="1"/>
        <v>2.7272727272727275</v>
      </c>
      <c r="N13" s="3">
        <v>12</v>
      </c>
      <c r="O13" s="7">
        <v>99</v>
      </c>
      <c r="P13" s="7">
        <v>99</v>
      </c>
      <c r="Q13" s="7">
        <v>99</v>
      </c>
      <c r="R13" s="7">
        <v>99</v>
      </c>
      <c r="S13" s="7">
        <v>99</v>
      </c>
      <c r="T13" s="7">
        <v>99</v>
      </c>
      <c r="U13" s="7">
        <v>99</v>
      </c>
      <c r="V13" s="7">
        <v>99</v>
      </c>
      <c r="W13" s="7">
        <v>99</v>
      </c>
      <c r="X13" s="7">
        <v>99</v>
      </c>
      <c r="Y13" s="7">
        <v>6.8729585171859773</v>
      </c>
      <c r="Z13" s="7">
        <v>99</v>
      </c>
      <c r="AA13" s="7">
        <v>7.6606620786805433</v>
      </c>
      <c r="AB13" s="7">
        <v>99</v>
      </c>
      <c r="AC13" s="7">
        <v>99</v>
      </c>
      <c r="AD13" s="7">
        <v>99</v>
      </c>
      <c r="AE13" s="7">
        <v>99</v>
      </c>
      <c r="AF13" s="7">
        <v>99</v>
      </c>
      <c r="AG13" s="7">
        <v>99</v>
      </c>
      <c r="AH13" s="7">
        <v>99</v>
      </c>
      <c r="AI13" s="7">
        <v>99</v>
      </c>
      <c r="AJ13" s="7">
        <v>99</v>
      </c>
      <c r="AK13" s="7">
        <v>99</v>
      </c>
      <c r="AL13" s="7">
        <v>99</v>
      </c>
      <c r="AM13" s="7">
        <v>99</v>
      </c>
      <c r="AN13" s="7">
        <v>99</v>
      </c>
      <c r="AO13" s="7">
        <v>13.134676698387377</v>
      </c>
      <c r="AP13" s="7">
        <v>99</v>
      </c>
      <c r="AQ13" s="7">
        <v>99</v>
      </c>
      <c r="AR13" s="7">
        <v>99</v>
      </c>
      <c r="AS13" s="7">
        <v>99</v>
      </c>
      <c r="AT13" s="7">
        <v>99</v>
      </c>
      <c r="AU13" s="7">
        <v>99</v>
      </c>
      <c r="AV13" s="7">
        <v>99</v>
      </c>
      <c r="AW13" s="7">
        <v>99</v>
      </c>
      <c r="AX13" s="7">
        <v>99</v>
      </c>
      <c r="AY13" s="7">
        <v>99</v>
      </c>
      <c r="AZ13" s="7">
        <v>99</v>
      </c>
      <c r="BA13" s="7">
        <v>99</v>
      </c>
      <c r="BB13" s="7">
        <v>99</v>
      </c>
      <c r="BC13" s="7">
        <v>99</v>
      </c>
      <c r="BD13" s="7">
        <v>99</v>
      </c>
      <c r="BE13" s="7">
        <v>99</v>
      </c>
      <c r="BF13" s="7">
        <v>99</v>
      </c>
    </row>
    <row r="14" spans="1:58" x14ac:dyDescent="0.45">
      <c r="F14" s="1">
        <f>NetNum!J14</f>
        <v>13</v>
      </c>
      <c r="G14" s="1">
        <f>NetNum!K14</f>
        <v>10</v>
      </c>
      <c r="H14" s="1">
        <f>NetNum!L14</f>
        <v>9</v>
      </c>
      <c r="I14" s="1">
        <f>NetNum!Q14</f>
        <v>4000</v>
      </c>
      <c r="J14" s="6">
        <f>NetNum!R14</f>
        <v>1</v>
      </c>
      <c r="K14" s="7">
        <v>5969.1006884366698</v>
      </c>
      <c r="L14" s="6">
        <f t="shared" si="1"/>
        <v>1.7438526469441755</v>
      </c>
      <c r="N14" s="3">
        <v>13</v>
      </c>
      <c r="O14" s="7">
        <v>99</v>
      </c>
      <c r="P14" s="7">
        <v>99</v>
      </c>
      <c r="Q14" s="7">
        <v>99</v>
      </c>
      <c r="R14" s="7">
        <v>99</v>
      </c>
      <c r="S14" s="7">
        <v>99</v>
      </c>
      <c r="T14" s="7">
        <v>99</v>
      </c>
      <c r="U14" s="7">
        <v>99</v>
      </c>
      <c r="V14" s="7">
        <v>99</v>
      </c>
      <c r="W14" s="7">
        <v>99</v>
      </c>
      <c r="X14" s="7">
        <v>99</v>
      </c>
      <c r="Y14" s="7">
        <v>99</v>
      </c>
      <c r="Z14" s="7">
        <v>7.2708022063762474</v>
      </c>
      <c r="AA14" s="7">
        <v>99</v>
      </c>
      <c r="AB14" s="7">
        <v>10.221034641307527</v>
      </c>
      <c r="AC14" s="7">
        <v>99</v>
      </c>
      <c r="AD14" s="7">
        <v>99</v>
      </c>
      <c r="AE14" s="7">
        <v>99</v>
      </c>
      <c r="AF14" s="7">
        <v>99</v>
      </c>
      <c r="AG14" s="7">
        <v>99</v>
      </c>
      <c r="AH14" s="7">
        <v>99</v>
      </c>
      <c r="AI14" s="7">
        <v>99</v>
      </c>
      <c r="AJ14" s="7">
        <v>99</v>
      </c>
      <c r="AK14" s="7">
        <v>99</v>
      </c>
      <c r="AL14" s="7">
        <v>99</v>
      </c>
      <c r="AM14" s="7">
        <v>99</v>
      </c>
      <c r="AN14" s="7">
        <v>99</v>
      </c>
      <c r="AO14" s="7">
        <v>99</v>
      </c>
      <c r="AP14" s="7">
        <v>99</v>
      </c>
      <c r="AQ14" s="7">
        <v>20.956069566963794</v>
      </c>
      <c r="AR14" s="7">
        <v>99</v>
      </c>
      <c r="AS14" s="7">
        <v>99</v>
      </c>
      <c r="AT14" s="7">
        <v>99</v>
      </c>
      <c r="AU14" s="7">
        <v>99</v>
      </c>
      <c r="AV14" s="7">
        <v>99</v>
      </c>
      <c r="AW14" s="7">
        <v>99</v>
      </c>
      <c r="AX14" s="7">
        <v>99</v>
      </c>
      <c r="AY14" s="7">
        <v>99</v>
      </c>
      <c r="AZ14" s="7">
        <v>99</v>
      </c>
      <c r="BA14" s="7">
        <v>99</v>
      </c>
      <c r="BB14" s="7">
        <v>99</v>
      </c>
      <c r="BC14" s="7">
        <v>99</v>
      </c>
      <c r="BD14" s="7">
        <v>99</v>
      </c>
      <c r="BE14" s="7">
        <v>99</v>
      </c>
      <c r="BF14" s="7">
        <v>99</v>
      </c>
    </row>
    <row r="15" spans="1:58" x14ac:dyDescent="0.45">
      <c r="F15" s="1">
        <f>NetNum!J15</f>
        <v>14</v>
      </c>
      <c r="G15" s="1">
        <f>NetNum!K15</f>
        <v>10</v>
      </c>
      <c r="H15" s="1">
        <f>NetNum!L15</f>
        <v>11</v>
      </c>
      <c r="I15" s="1">
        <f>NetNum!Q15</f>
        <v>4000</v>
      </c>
      <c r="J15" s="6">
        <f>NetNum!R15</f>
        <v>2.5</v>
      </c>
      <c r="K15" s="7">
        <v>5611.5796480647596</v>
      </c>
      <c r="L15" s="6">
        <f t="shared" si="1"/>
        <v>3.9525524669064858</v>
      </c>
      <c r="N15" s="3">
        <v>14</v>
      </c>
      <c r="O15" s="7">
        <v>99</v>
      </c>
      <c r="P15" s="7">
        <v>99</v>
      </c>
      <c r="Q15" s="7">
        <v>2.7272727272727275</v>
      </c>
      <c r="R15" s="7">
        <v>99</v>
      </c>
      <c r="S15" s="7">
        <v>99</v>
      </c>
      <c r="T15" s="7">
        <v>99</v>
      </c>
      <c r="U15" s="7">
        <v>99</v>
      </c>
      <c r="V15" s="7">
        <v>99</v>
      </c>
      <c r="W15" s="7">
        <v>99</v>
      </c>
      <c r="X15" s="7">
        <v>99</v>
      </c>
      <c r="Y15" s="7">
        <v>99</v>
      </c>
      <c r="Z15" s="7">
        <v>99</v>
      </c>
      <c r="AA15" s="7">
        <v>9.7026391048120164</v>
      </c>
      <c r="AB15" s="7">
        <v>99</v>
      </c>
      <c r="AC15" s="7">
        <v>6.2385640542394381</v>
      </c>
      <c r="AD15" s="7">
        <v>99</v>
      </c>
      <c r="AE15" s="7">
        <v>99</v>
      </c>
      <c r="AF15" s="7">
        <v>99</v>
      </c>
      <c r="AG15" s="7">
        <v>99</v>
      </c>
      <c r="AH15" s="7">
        <v>99</v>
      </c>
      <c r="AI15" s="7">
        <v>99</v>
      </c>
      <c r="AJ15" s="7">
        <v>99</v>
      </c>
      <c r="AK15" s="7">
        <v>99</v>
      </c>
      <c r="AL15" s="7">
        <v>99</v>
      </c>
      <c r="AM15" s="7">
        <v>99</v>
      </c>
      <c r="AN15" s="7">
        <v>99</v>
      </c>
      <c r="AO15" s="7">
        <v>99</v>
      </c>
      <c r="AP15" s="7">
        <v>99</v>
      </c>
      <c r="AQ15" s="7">
        <v>99</v>
      </c>
      <c r="AR15" s="7">
        <v>18.587862490319679</v>
      </c>
      <c r="AS15" s="7">
        <v>99</v>
      </c>
      <c r="AT15" s="7">
        <v>99</v>
      </c>
      <c r="AU15" s="7">
        <v>99</v>
      </c>
      <c r="AV15" s="7">
        <v>99</v>
      </c>
      <c r="AW15" s="7">
        <v>99</v>
      </c>
      <c r="AX15" s="7">
        <v>99</v>
      </c>
      <c r="AY15" s="7">
        <v>99</v>
      </c>
      <c r="AZ15" s="7">
        <v>99</v>
      </c>
      <c r="BA15" s="7">
        <v>99</v>
      </c>
      <c r="BB15" s="7">
        <v>99</v>
      </c>
      <c r="BC15" s="7">
        <v>99</v>
      </c>
      <c r="BD15" s="7">
        <v>99</v>
      </c>
      <c r="BE15" s="7">
        <v>99</v>
      </c>
      <c r="BF15" s="7">
        <v>99</v>
      </c>
    </row>
    <row r="16" spans="1:58" x14ac:dyDescent="0.45">
      <c r="F16" s="1">
        <f>NetNum!J16</f>
        <v>15</v>
      </c>
      <c r="G16" s="1">
        <f>NetNum!K16</f>
        <v>10</v>
      </c>
      <c r="H16" s="1">
        <f>NetNum!L16</f>
        <v>25</v>
      </c>
      <c r="I16" s="1">
        <f>NetNum!Q16</f>
        <v>2000</v>
      </c>
      <c r="J16" s="6">
        <f>NetNum!R16</f>
        <v>6</v>
      </c>
      <c r="K16" s="7">
        <v>202.45003619946678</v>
      </c>
      <c r="L16" s="6">
        <f t="shared" si="1"/>
        <v>6.0000944917651351</v>
      </c>
      <c r="N16" s="3">
        <v>15</v>
      </c>
      <c r="O16" s="7">
        <v>99</v>
      </c>
      <c r="P16" s="7">
        <v>99</v>
      </c>
      <c r="Q16" s="7">
        <v>99</v>
      </c>
      <c r="R16" s="7">
        <v>99</v>
      </c>
      <c r="S16" s="7">
        <v>99</v>
      </c>
      <c r="T16" s="7">
        <v>99</v>
      </c>
      <c r="U16" s="7">
        <v>99</v>
      </c>
      <c r="V16" s="7">
        <v>99</v>
      </c>
      <c r="W16" s="7">
        <v>99</v>
      </c>
      <c r="X16" s="7">
        <v>99</v>
      </c>
      <c r="Y16" s="7">
        <v>99</v>
      </c>
      <c r="Z16" s="7">
        <v>99</v>
      </c>
      <c r="AA16" s="7">
        <v>99</v>
      </c>
      <c r="AB16" s="7">
        <v>6.1360096161474891</v>
      </c>
      <c r="AC16" s="7">
        <v>99</v>
      </c>
      <c r="AD16" s="7">
        <v>2.8375147247704908</v>
      </c>
      <c r="AE16" s="7">
        <v>99</v>
      </c>
      <c r="AF16" s="7">
        <v>99</v>
      </c>
      <c r="AG16" s="7">
        <v>99</v>
      </c>
      <c r="AH16" s="7">
        <v>99</v>
      </c>
      <c r="AI16" s="7">
        <v>99</v>
      </c>
      <c r="AJ16" s="7">
        <v>99</v>
      </c>
      <c r="AK16" s="7">
        <v>99</v>
      </c>
      <c r="AL16" s="7">
        <v>99</v>
      </c>
      <c r="AM16" s="7">
        <v>99</v>
      </c>
      <c r="AN16" s="7">
        <v>99</v>
      </c>
      <c r="AO16" s="7">
        <v>99</v>
      </c>
      <c r="AP16" s="7">
        <v>99</v>
      </c>
      <c r="AQ16" s="7">
        <v>99</v>
      </c>
      <c r="AR16" s="7">
        <v>8.3095135359561585</v>
      </c>
      <c r="AS16" s="7">
        <v>99</v>
      </c>
      <c r="AT16" s="7">
        <v>99</v>
      </c>
      <c r="AU16" s="7">
        <v>99</v>
      </c>
      <c r="AV16" s="7">
        <v>99</v>
      </c>
      <c r="AW16" s="7">
        <v>99</v>
      </c>
      <c r="AX16" s="7">
        <v>99</v>
      </c>
      <c r="AY16" s="7">
        <v>99</v>
      </c>
      <c r="AZ16" s="7">
        <v>99</v>
      </c>
      <c r="BA16" s="7">
        <v>99</v>
      </c>
      <c r="BB16" s="7">
        <v>99</v>
      </c>
      <c r="BC16" s="7">
        <v>99</v>
      </c>
      <c r="BD16" s="7">
        <v>99</v>
      </c>
      <c r="BE16" s="7">
        <v>99</v>
      </c>
      <c r="BF16" s="7">
        <v>99</v>
      </c>
    </row>
    <row r="17" spans="6:58" x14ac:dyDescent="0.45">
      <c r="F17" s="1">
        <f>NetNum!J17</f>
        <v>16</v>
      </c>
      <c r="G17" s="1">
        <f>NetNum!K17</f>
        <v>11</v>
      </c>
      <c r="H17" s="1">
        <f>NetNum!L17</f>
        <v>10</v>
      </c>
      <c r="I17" s="1">
        <f>NetNum!Q17</f>
        <v>4000</v>
      </c>
      <c r="J17" s="6">
        <f>NetNum!R17</f>
        <v>2.5</v>
      </c>
      <c r="K17" s="7">
        <v>5565.8268448476565</v>
      </c>
      <c r="L17" s="6">
        <f t="shared" si="1"/>
        <v>3.9057563920033775</v>
      </c>
      <c r="N17" s="3">
        <v>16</v>
      </c>
      <c r="O17" s="7">
        <v>99</v>
      </c>
      <c r="P17" s="7">
        <v>99</v>
      </c>
      <c r="Q17" s="7">
        <v>99</v>
      </c>
      <c r="R17" s="7">
        <v>2.7272727272727275</v>
      </c>
      <c r="S17" s="7">
        <v>99</v>
      </c>
      <c r="T17" s="7">
        <v>99</v>
      </c>
      <c r="U17" s="7">
        <v>99</v>
      </c>
      <c r="V17" s="7">
        <v>99</v>
      </c>
      <c r="W17" s="7">
        <v>99</v>
      </c>
      <c r="X17" s="7">
        <v>99</v>
      </c>
      <c r="Y17" s="7">
        <v>99</v>
      </c>
      <c r="Z17" s="7">
        <v>99</v>
      </c>
      <c r="AA17" s="7">
        <v>99</v>
      </c>
      <c r="AB17" s="7">
        <v>99</v>
      </c>
      <c r="AC17" s="7">
        <v>2.7562204387680733</v>
      </c>
      <c r="AD17" s="7">
        <v>99</v>
      </c>
      <c r="AE17" s="7">
        <v>5.1519712934496047</v>
      </c>
      <c r="AF17" s="7">
        <v>99</v>
      </c>
      <c r="AG17" s="7">
        <v>99</v>
      </c>
      <c r="AH17" s="7">
        <v>99</v>
      </c>
      <c r="AI17" s="7">
        <v>99</v>
      </c>
      <c r="AJ17" s="7">
        <v>99</v>
      </c>
      <c r="AK17" s="7">
        <v>99</v>
      </c>
      <c r="AL17" s="7">
        <v>99</v>
      </c>
      <c r="AM17" s="7">
        <v>99</v>
      </c>
      <c r="AN17" s="7">
        <v>99</v>
      </c>
      <c r="AO17" s="7">
        <v>99</v>
      </c>
      <c r="AP17" s="7">
        <v>99</v>
      </c>
      <c r="AQ17" s="7">
        <v>99</v>
      </c>
      <c r="AR17" s="7">
        <v>99</v>
      </c>
      <c r="AS17" s="7">
        <v>3.8262287748378911</v>
      </c>
      <c r="AT17" s="7">
        <v>99</v>
      </c>
      <c r="AU17" s="7">
        <v>99</v>
      </c>
      <c r="AV17" s="7">
        <v>99</v>
      </c>
      <c r="AW17" s="7">
        <v>99</v>
      </c>
      <c r="AX17" s="7">
        <v>99</v>
      </c>
      <c r="AY17" s="7">
        <v>99</v>
      </c>
      <c r="AZ17" s="7">
        <v>99</v>
      </c>
      <c r="BA17" s="7">
        <v>99</v>
      </c>
      <c r="BB17" s="7">
        <v>99</v>
      </c>
      <c r="BC17" s="7">
        <v>99</v>
      </c>
      <c r="BD17" s="7">
        <v>99</v>
      </c>
      <c r="BE17" s="7">
        <v>99</v>
      </c>
      <c r="BF17" s="7">
        <v>99</v>
      </c>
    </row>
    <row r="18" spans="6:58" x14ac:dyDescent="0.45">
      <c r="F18" s="1">
        <f>NetNum!J18</f>
        <v>17</v>
      </c>
      <c r="G18" s="1">
        <f>NetNum!K18</f>
        <v>11</v>
      </c>
      <c r="H18" s="1">
        <f>NetNum!L18</f>
        <v>12</v>
      </c>
      <c r="I18" s="1">
        <f>NetNum!Q18</f>
        <v>4000</v>
      </c>
      <c r="J18" s="6">
        <f>NetNum!R18</f>
        <v>3</v>
      </c>
      <c r="K18" s="7">
        <v>6889.6945593830242</v>
      </c>
      <c r="L18" s="6">
        <f t="shared" si="1"/>
        <v>6.960704333551142</v>
      </c>
      <c r="N18" s="3">
        <v>17</v>
      </c>
      <c r="O18" s="7">
        <v>99</v>
      </c>
      <c r="P18" s="7">
        <v>99</v>
      </c>
      <c r="Q18" s="7">
        <v>99</v>
      </c>
      <c r="R18" s="7">
        <v>99</v>
      </c>
      <c r="S18" s="7">
        <v>99</v>
      </c>
      <c r="T18" s="7">
        <v>99</v>
      </c>
      <c r="U18" s="7">
        <v>99</v>
      </c>
      <c r="V18" s="7">
        <v>99</v>
      </c>
      <c r="W18" s="7">
        <v>99</v>
      </c>
      <c r="X18" s="7">
        <v>99</v>
      </c>
      <c r="Y18" s="7">
        <v>99</v>
      </c>
      <c r="Z18" s="7">
        <v>99</v>
      </c>
      <c r="AA18" s="7">
        <v>99</v>
      </c>
      <c r="AB18" s="7">
        <v>99</v>
      </c>
      <c r="AC18" s="7">
        <v>99</v>
      </c>
      <c r="AD18" s="7">
        <v>5.1624162374586708</v>
      </c>
      <c r="AE18" s="7">
        <v>99</v>
      </c>
      <c r="AF18" s="7">
        <v>14.121344225055644</v>
      </c>
      <c r="AG18" s="7">
        <v>99</v>
      </c>
      <c r="AH18" s="7">
        <v>99</v>
      </c>
      <c r="AI18" s="7">
        <v>99</v>
      </c>
      <c r="AJ18" s="7">
        <v>99</v>
      </c>
      <c r="AK18" s="7">
        <v>99</v>
      </c>
      <c r="AL18" s="7">
        <v>99</v>
      </c>
      <c r="AM18" s="7">
        <v>99</v>
      </c>
      <c r="AN18" s="7">
        <v>99</v>
      </c>
      <c r="AO18" s="7">
        <v>99</v>
      </c>
      <c r="AP18" s="7">
        <v>99</v>
      </c>
      <c r="AQ18" s="7">
        <v>99</v>
      </c>
      <c r="AR18" s="7">
        <v>99</v>
      </c>
      <c r="AS18" s="7">
        <v>99</v>
      </c>
      <c r="AT18" s="7">
        <v>1.7700776839563759</v>
      </c>
      <c r="AU18" s="7">
        <v>99</v>
      </c>
      <c r="AV18" s="7">
        <v>99</v>
      </c>
      <c r="AW18" s="7">
        <v>99</v>
      </c>
      <c r="AX18" s="7">
        <v>99</v>
      </c>
      <c r="AY18" s="7">
        <v>99</v>
      </c>
      <c r="AZ18" s="7">
        <v>99</v>
      </c>
      <c r="BA18" s="7">
        <v>99</v>
      </c>
      <c r="BB18" s="7">
        <v>99</v>
      </c>
      <c r="BC18" s="7">
        <v>99</v>
      </c>
      <c r="BD18" s="7">
        <v>99</v>
      </c>
      <c r="BE18" s="7">
        <v>99</v>
      </c>
      <c r="BF18" s="7">
        <v>99</v>
      </c>
    </row>
    <row r="19" spans="6:58" x14ac:dyDescent="0.45">
      <c r="F19" s="1">
        <f>NetNum!J19</f>
        <v>18</v>
      </c>
      <c r="G19" s="1">
        <f>NetNum!K19</f>
        <v>11</v>
      </c>
      <c r="H19" s="1">
        <f>NetNum!L19</f>
        <v>26</v>
      </c>
      <c r="I19" s="1">
        <f>NetNum!Q19</f>
        <v>2000</v>
      </c>
      <c r="J19" s="6">
        <f>NetNum!R19</f>
        <v>7.7142857142857135</v>
      </c>
      <c r="K19" s="7">
        <v>1285.3878043168581</v>
      </c>
      <c r="L19" s="6">
        <f t="shared" si="1"/>
        <v>7.9117114187427253</v>
      </c>
      <c r="N19" s="3">
        <v>18</v>
      </c>
      <c r="O19" s="7">
        <v>99</v>
      </c>
      <c r="P19" s="7">
        <v>99</v>
      </c>
      <c r="Q19" s="7">
        <v>99</v>
      </c>
      <c r="R19" s="7">
        <v>99</v>
      </c>
      <c r="S19" s="7">
        <v>2.7272727272727275</v>
      </c>
      <c r="T19" s="7">
        <v>99</v>
      </c>
      <c r="U19" s="7">
        <v>99</v>
      </c>
      <c r="V19" s="7">
        <v>99</v>
      </c>
      <c r="W19" s="7">
        <v>99</v>
      </c>
      <c r="X19" s="7">
        <v>99</v>
      </c>
      <c r="Y19" s="7">
        <v>99</v>
      </c>
      <c r="Z19" s="7">
        <v>99</v>
      </c>
      <c r="AA19" s="7">
        <v>99</v>
      </c>
      <c r="AB19" s="7">
        <v>99</v>
      </c>
      <c r="AC19" s="7">
        <v>99</v>
      </c>
      <c r="AD19" s="7">
        <v>99</v>
      </c>
      <c r="AE19" s="7">
        <v>14.321443834671141</v>
      </c>
      <c r="AF19" s="7">
        <v>99</v>
      </c>
      <c r="AG19" s="7">
        <v>3.4058052701519816</v>
      </c>
      <c r="AH19" s="7">
        <v>99</v>
      </c>
      <c r="AI19" s="7">
        <v>99</v>
      </c>
      <c r="AJ19" s="7">
        <v>99</v>
      </c>
      <c r="AK19" s="7">
        <v>99</v>
      </c>
      <c r="AL19" s="7">
        <v>99</v>
      </c>
      <c r="AM19" s="7">
        <v>99</v>
      </c>
      <c r="AN19" s="7">
        <v>99</v>
      </c>
      <c r="AO19" s="7">
        <v>99</v>
      </c>
      <c r="AP19" s="7">
        <v>99</v>
      </c>
      <c r="AQ19" s="7">
        <v>99</v>
      </c>
      <c r="AR19" s="7">
        <v>99</v>
      </c>
      <c r="AS19" s="7">
        <v>99</v>
      </c>
      <c r="AT19" s="7">
        <v>99</v>
      </c>
      <c r="AU19" s="7">
        <v>4.5176377380297623</v>
      </c>
      <c r="AV19" s="7">
        <v>99</v>
      </c>
      <c r="AW19" s="7">
        <v>99</v>
      </c>
      <c r="AX19" s="7">
        <v>99</v>
      </c>
      <c r="AY19" s="7">
        <v>99</v>
      </c>
      <c r="AZ19" s="7">
        <v>99</v>
      </c>
      <c r="BA19" s="7">
        <v>99</v>
      </c>
      <c r="BB19" s="7">
        <v>99</v>
      </c>
      <c r="BC19" s="7">
        <v>99</v>
      </c>
      <c r="BD19" s="7">
        <v>99</v>
      </c>
      <c r="BE19" s="7">
        <v>99</v>
      </c>
      <c r="BF19" s="7">
        <v>99</v>
      </c>
    </row>
    <row r="20" spans="6:58" x14ac:dyDescent="0.45">
      <c r="F20" s="1">
        <f>NetNum!J20</f>
        <v>19</v>
      </c>
      <c r="G20" s="1">
        <f>NetNum!K20</f>
        <v>12</v>
      </c>
      <c r="H20" s="1">
        <f>NetNum!L20</f>
        <v>11</v>
      </c>
      <c r="I20" s="1">
        <f>NetNum!Q20</f>
        <v>4000</v>
      </c>
      <c r="J20" s="6">
        <f>NetNum!R20</f>
        <v>3</v>
      </c>
      <c r="K20" s="7">
        <v>6851.2146491645144</v>
      </c>
      <c r="L20" s="6">
        <f t="shared" si="1"/>
        <v>6.8729585171859773</v>
      </c>
      <c r="N20" s="3">
        <v>19</v>
      </c>
      <c r="O20" s="7">
        <v>99</v>
      </c>
      <c r="P20" s="7">
        <v>99</v>
      </c>
      <c r="Q20" s="7">
        <v>99</v>
      </c>
      <c r="R20" s="7">
        <v>99</v>
      </c>
      <c r="S20" s="7">
        <v>99</v>
      </c>
      <c r="T20" s="7">
        <v>2.5</v>
      </c>
      <c r="U20" s="7">
        <v>99</v>
      </c>
      <c r="V20" s="7">
        <v>99</v>
      </c>
      <c r="W20" s="7">
        <v>99</v>
      </c>
      <c r="X20" s="7">
        <v>99</v>
      </c>
      <c r="Y20" s="7">
        <v>99</v>
      </c>
      <c r="Z20" s="7">
        <v>99</v>
      </c>
      <c r="AA20" s="7">
        <v>99</v>
      </c>
      <c r="AB20" s="7">
        <v>99</v>
      </c>
      <c r="AC20" s="7">
        <v>99</v>
      </c>
      <c r="AD20" s="7">
        <v>99</v>
      </c>
      <c r="AE20" s="7">
        <v>99</v>
      </c>
      <c r="AF20" s="7">
        <v>3.3579020595837834</v>
      </c>
      <c r="AG20" s="7">
        <v>99</v>
      </c>
      <c r="AH20" s="7">
        <v>3.4527807843457183</v>
      </c>
      <c r="AI20" s="7">
        <v>99</v>
      </c>
      <c r="AJ20" s="7">
        <v>99</v>
      </c>
      <c r="AK20" s="7">
        <v>99</v>
      </c>
      <c r="AL20" s="7">
        <v>99</v>
      </c>
      <c r="AM20" s="7">
        <v>99</v>
      </c>
      <c r="AN20" s="7">
        <v>99</v>
      </c>
      <c r="AO20" s="7">
        <v>99</v>
      </c>
      <c r="AP20" s="7">
        <v>99</v>
      </c>
      <c r="AQ20" s="7">
        <v>99</v>
      </c>
      <c r="AR20" s="7">
        <v>99</v>
      </c>
      <c r="AS20" s="7">
        <v>99</v>
      </c>
      <c r="AT20" s="7">
        <v>99</v>
      </c>
      <c r="AU20" s="7">
        <v>99</v>
      </c>
      <c r="AV20" s="7">
        <v>3.2748570497891163</v>
      </c>
      <c r="AW20" s="7">
        <v>99</v>
      </c>
      <c r="AX20" s="7">
        <v>99</v>
      </c>
      <c r="AY20" s="7">
        <v>99</v>
      </c>
      <c r="AZ20" s="7">
        <v>99</v>
      </c>
      <c r="BA20" s="7">
        <v>99</v>
      </c>
      <c r="BB20" s="7">
        <v>99</v>
      </c>
      <c r="BC20" s="7">
        <v>99</v>
      </c>
      <c r="BD20" s="7">
        <v>99</v>
      </c>
      <c r="BE20" s="7">
        <v>99</v>
      </c>
      <c r="BF20" s="7">
        <v>99</v>
      </c>
    </row>
    <row r="21" spans="6:58" x14ac:dyDescent="0.45">
      <c r="F21" s="1">
        <f>NetNum!J21</f>
        <v>20</v>
      </c>
      <c r="G21" s="1">
        <f>NetNum!K21</f>
        <v>12</v>
      </c>
      <c r="H21" s="1">
        <f>NetNum!L21</f>
        <v>13</v>
      </c>
      <c r="I21" s="1">
        <f>NetNum!Q21</f>
        <v>4000</v>
      </c>
      <c r="J21" s="6">
        <f>NetNum!R21</f>
        <v>2.5</v>
      </c>
      <c r="K21" s="7">
        <v>7704.217411088388</v>
      </c>
      <c r="L21" s="6">
        <f t="shared" si="1"/>
        <v>7.6606620786805433</v>
      </c>
      <c r="N21" s="3">
        <v>20</v>
      </c>
      <c r="O21" s="7">
        <v>99</v>
      </c>
      <c r="P21" s="7">
        <v>99</v>
      </c>
      <c r="Q21" s="7">
        <v>99</v>
      </c>
      <c r="R21" s="7">
        <v>99</v>
      </c>
      <c r="S21" s="7">
        <v>99</v>
      </c>
      <c r="T21" s="7">
        <v>99</v>
      </c>
      <c r="U21" s="7">
        <v>99</v>
      </c>
      <c r="V21" s="7">
        <v>99</v>
      </c>
      <c r="W21" s="7">
        <v>99</v>
      </c>
      <c r="X21" s="7">
        <v>99</v>
      </c>
      <c r="Y21" s="7">
        <v>99</v>
      </c>
      <c r="Z21" s="7">
        <v>99</v>
      </c>
      <c r="AA21" s="7">
        <v>99</v>
      </c>
      <c r="AB21" s="7">
        <v>99</v>
      </c>
      <c r="AC21" s="7">
        <v>99</v>
      </c>
      <c r="AD21" s="7">
        <v>99</v>
      </c>
      <c r="AE21" s="7">
        <v>99</v>
      </c>
      <c r="AF21" s="7">
        <v>99</v>
      </c>
      <c r="AG21" s="7">
        <v>3.4730425952451056</v>
      </c>
      <c r="AH21" s="7">
        <v>99</v>
      </c>
      <c r="AI21" s="7">
        <v>6.3300981046338167</v>
      </c>
      <c r="AJ21" s="7">
        <v>99</v>
      </c>
      <c r="AK21" s="7">
        <v>99</v>
      </c>
      <c r="AL21" s="7">
        <v>99</v>
      </c>
      <c r="AM21" s="7">
        <v>99</v>
      </c>
      <c r="AN21" s="7">
        <v>99</v>
      </c>
      <c r="AO21" s="7">
        <v>99</v>
      </c>
      <c r="AP21" s="7">
        <v>99</v>
      </c>
      <c r="AQ21" s="7">
        <v>99</v>
      </c>
      <c r="AR21" s="7">
        <v>99</v>
      </c>
      <c r="AS21" s="7">
        <v>99</v>
      </c>
      <c r="AT21" s="7">
        <v>99</v>
      </c>
      <c r="AU21" s="7">
        <v>99</v>
      </c>
      <c r="AV21" s="7">
        <v>99</v>
      </c>
      <c r="AW21" s="7">
        <v>5.3333333333333339</v>
      </c>
      <c r="AX21" s="7">
        <v>99</v>
      </c>
      <c r="AY21" s="7">
        <v>99</v>
      </c>
      <c r="AZ21" s="7">
        <v>99</v>
      </c>
      <c r="BA21" s="7">
        <v>99</v>
      </c>
      <c r="BB21" s="7">
        <v>99</v>
      </c>
      <c r="BC21" s="7">
        <v>99</v>
      </c>
      <c r="BD21" s="7">
        <v>99</v>
      </c>
      <c r="BE21" s="7">
        <v>99</v>
      </c>
      <c r="BF21" s="7">
        <v>99</v>
      </c>
    </row>
    <row r="22" spans="6:58" x14ac:dyDescent="0.45">
      <c r="F22" s="1">
        <f>NetNum!J22</f>
        <v>21</v>
      </c>
      <c r="G22" s="1">
        <f>NetNum!K22</f>
        <v>12</v>
      </c>
      <c r="H22" s="1">
        <f>NetNum!L22</f>
        <v>27</v>
      </c>
      <c r="I22" s="1">
        <f>NetNum!Q22</f>
        <v>3000</v>
      </c>
      <c r="J22" s="6">
        <f>NetNum!R22</f>
        <v>5.3333333333333339</v>
      </c>
      <c r="K22" s="7">
        <v>5301.4065003989754</v>
      </c>
      <c r="L22" s="6">
        <f t="shared" si="1"/>
        <v>13.134676698387377</v>
      </c>
      <c r="N22" s="3">
        <v>21</v>
      </c>
      <c r="O22" s="7">
        <v>99</v>
      </c>
      <c r="P22" s="7">
        <v>99</v>
      </c>
      <c r="Q22" s="7">
        <v>99</v>
      </c>
      <c r="R22" s="7">
        <v>99</v>
      </c>
      <c r="S22" s="7">
        <v>99</v>
      </c>
      <c r="T22" s="7">
        <v>99</v>
      </c>
      <c r="U22" s="7">
        <v>2.7272727272727275</v>
      </c>
      <c r="V22" s="7">
        <v>99</v>
      </c>
      <c r="W22" s="7">
        <v>99</v>
      </c>
      <c r="X22" s="7">
        <v>99</v>
      </c>
      <c r="Y22" s="7">
        <v>99</v>
      </c>
      <c r="Z22" s="7">
        <v>99</v>
      </c>
      <c r="AA22" s="7">
        <v>99</v>
      </c>
      <c r="AB22" s="7">
        <v>99</v>
      </c>
      <c r="AC22" s="7">
        <v>99</v>
      </c>
      <c r="AD22" s="7">
        <v>99</v>
      </c>
      <c r="AE22" s="7">
        <v>99</v>
      </c>
      <c r="AF22" s="7">
        <v>99</v>
      </c>
      <c r="AG22" s="7">
        <v>99</v>
      </c>
      <c r="AH22" s="7">
        <v>6.3672447579493605</v>
      </c>
      <c r="AI22" s="7">
        <v>99</v>
      </c>
      <c r="AJ22" s="7">
        <v>1.601700995456486</v>
      </c>
      <c r="AK22" s="7">
        <v>99</v>
      </c>
      <c r="AL22" s="7">
        <v>99</v>
      </c>
      <c r="AM22" s="7">
        <v>99</v>
      </c>
      <c r="AN22" s="7">
        <v>99</v>
      </c>
      <c r="AO22" s="7">
        <v>99</v>
      </c>
      <c r="AP22" s="7">
        <v>99</v>
      </c>
      <c r="AQ22" s="7">
        <v>99</v>
      </c>
      <c r="AR22" s="7">
        <v>99</v>
      </c>
      <c r="AS22" s="7">
        <v>99</v>
      </c>
      <c r="AT22" s="7">
        <v>99</v>
      </c>
      <c r="AU22" s="7">
        <v>99</v>
      </c>
      <c r="AV22" s="7">
        <v>99</v>
      </c>
      <c r="AW22" s="7">
        <v>99</v>
      </c>
      <c r="AX22" s="7">
        <v>7.7739503940658059</v>
      </c>
      <c r="AY22" s="7">
        <v>99</v>
      </c>
      <c r="AZ22" s="7">
        <v>99</v>
      </c>
      <c r="BA22" s="7">
        <v>99</v>
      </c>
      <c r="BB22" s="7">
        <v>99</v>
      </c>
      <c r="BC22" s="7">
        <v>99</v>
      </c>
      <c r="BD22" s="7">
        <v>99</v>
      </c>
      <c r="BE22" s="7">
        <v>99</v>
      </c>
      <c r="BF22" s="7">
        <v>99</v>
      </c>
    </row>
    <row r="23" spans="6:58" x14ac:dyDescent="0.45">
      <c r="F23" s="1">
        <f>NetNum!J23</f>
        <v>22</v>
      </c>
      <c r="G23" s="1">
        <f>NetNum!K23</f>
        <v>13</v>
      </c>
      <c r="H23" s="1">
        <f>NetNum!L23</f>
        <v>12</v>
      </c>
      <c r="I23" s="1">
        <f>NetNum!Q23</f>
        <v>4000</v>
      </c>
      <c r="J23" s="6">
        <f>NetNum!R23</f>
        <v>2.5</v>
      </c>
      <c r="K23" s="7">
        <v>7554.4008797510605</v>
      </c>
      <c r="L23" s="6">
        <f t="shared" si="1"/>
        <v>7.2708022063762474</v>
      </c>
      <c r="N23" s="3">
        <v>22</v>
      </c>
      <c r="O23" s="7">
        <v>99</v>
      </c>
      <c r="P23" s="7">
        <v>99</v>
      </c>
      <c r="Q23" s="7">
        <v>99</v>
      </c>
      <c r="R23" s="7">
        <v>99</v>
      </c>
      <c r="S23" s="7">
        <v>99</v>
      </c>
      <c r="T23" s="7">
        <v>99</v>
      </c>
      <c r="U23" s="7">
        <v>99</v>
      </c>
      <c r="V23" s="7">
        <v>99</v>
      </c>
      <c r="W23" s="7">
        <v>99</v>
      </c>
      <c r="X23" s="7">
        <v>99</v>
      </c>
      <c r="Y23" s="7">
        <v>99</v>
      </c>
      <c r="Z23" s="7">
        <v>99</v>
      </c>
      <c r="AA23" s="7">
        <v>99</v>
      </c>
      <c r="AB23" s="7">
        <v>99</v>
      </c>
      <c r="AC23" s="7">
        <v>99</v>
      </c>
      <c r="AD23" s="7">
        <v>99</v>
      </c>
      <c r="AE23" s="7">
        <v>99</v>
      </c>
      <c r="AF23" s="7">
        <v>99</v>
      </c>
      <c r="AG23" s="7">
        <v>99</v>
      </c>
      <c r="AH23" s="7">
        <v>99</v>
      </c>
      <c r="AI23" s="7">
        <v>1.599389486002242</v>
      </c>
      <c r="AJ23" s="7">
        <v>99</v>
      </c>
      <c r="AK23" s="7">
        <v>4.8051029863694579</v>
      </c>
      <c r="AL23" s="7">
        <v>99</v>
      </c>
      <c r="AM23" s="7">
        <v>99</v>
      </c>
      <c r="AN23" s="7">
        <v>99</v>
      </c>
      <c r="AO23" s="7">
        <v>99</v>
      </c>
      <c r="AP23" s="7">
        <v>99</v>
      </c>
      <c r="AQ23" s="7">
        <v>99</v>
      </c>
      <c r="AR23" s="7">
        <v>99</v>
      </c>
      <c r="AS23" s="7">
        <v>99</v>
      </c>
      <c r="AT23" s="7">
        <v>99</v>
      </c>
      <c r="AU23" s="7">
        <v>99</v>
      </c>
      <c r="AV23" s="7">
        <v>99</v>
      </c>
      <c r="AW23" s="7">
        <v>99</v>
      </c>
      <c r="AX23" s="7">
        <v>99</v>
      </c>
      <c r="AY23" s="7">
        <v>6.6666666666666661</v>
      </c>
      <c r="AZ23" s="7">
        <v>99</v>
      </c>
      <c r="BA23" s="7">
        <v>99</v>
      </c>
      <c r="BB23" s="7">
        <v>99</v>
      </c>
      <c r="BC23" s="7">
        <v>99</v>
      </c>
      <c r="BD23" s="7">
        <v>99</v>
      </c>
      <c r="BE23" s="7">
        <v>99</v>
      </c>
      <c r="BF23" s="7">
        <v>99</v>
      </c>
    </row>
    <row r="24" spans="6:58" x14ac:dyDescent="0.45">
      <c r="F24" s="1">
        <f>NetNum!J24</f>
        <v>23</v>
      </c>
      <c r="G24" s="1">
        <f>NetNum!K24</f>
        <v>13</v>
      </c>
      <c r="H24" s="1">
        <f>NetNum!L24</f>
        <v>14</v>
      </c>
      <c r="I24" s="1">
        <f>NetNum!Q24</f>
        <v>4000</v>
      </c>
      <c r="J24" s="6">
        <f>NetNum!R24</f>
        <v>3.5</v>
      </c>
      <c r="K24" s="7">
        <v>7566.2240764434009</v>
      </c>
      <c r="L24" s="6">
        <f t="shared" si="1"/>
        <v>10.221034641307527</v>
      </c>
      <c r="N24" s="3">
        <v>23</v>
      </c>
      <c r="O24" s="7">
        <v>99</v>
      </c>
      <c r="P24" s="7">
        <v>99</v>
      </c>
      <c r="Q24" s="7">
        <v>99</v>
      </c>
      <c r="R24" s="7">
        <v>99</v>
      </c>
      <c r="S24" s="7">
        <v>99</v>
      </c>
      <c r="T24" s="7">
        <v>99</v>
      </c>
      <c r="U24" s="7">
        <v>99</v>
      </c>
      <c r="V24" s="7">
        <v>99</v>
      </c>
      <c r="W24" s="7">
        <v>99</v>
      </c>
      <c r="X24" s="7">
        <v>99</v>
      </c>
      <c r="Y24" s="7">
        <v>99</v>
      </c>
      <c r="Z24" s="7">
        <v>99</v>
      </c>
      <c r="AA24" s="7">
        <v>99</v>
      </c>
      <c r="AB24" s="7">
        <v>99</v>
      </c>
      <c r="AC24" s="7">
        <v>99</v>
      </c>
      <c r="AD24" s="7">
        <v>99</v>
      </c>
      <c r="AE24" s="7">
        <v>99</v>
      </c>
      <c r="AF24" s="7">
        <v>99</v>
      </c>
      <c r="AG24" s="7">
        <v>99</v>
      </c>
      <c r="AH24" s="7">
        <v>99</v>
      </c>
      <c r="AI24" s="7">
        <v>99</v>
      </c>
      <c r="AJ24" s="7">
        <v>4.7981684580067263</v>
      </c>
      <c r="AK24" s="7">
        <v>99</v>
      </c>
      <c r="AL24" s="7">
        <v>0.72848308984195687</v>
      </c>
      <c r="AM24" s="7">
        <v>99</v>
      </c>
      <c r="AN24" s="7">
        <v>99</v>
      </c>
      <c r="AO24" s="7">
        <v>99</v>
      </c>
      <c r="AP24" s="7">
        <v>99</v>
      </c>
      <c r="AQ24" s="7">
        <v>99</v>
      </c>
      <c r="AR24" s="7">
        <v>99</v>
      </c>
      <c r="AS24" s="7">
        <v>99</v>
      </c>
      <c r="AT24" s="7">
        <v>99</v>
      </c>
      <c r="AU24" s="7">
        <v>99</v>
      </c>
      <c r="AV24" s="7">
        <v>99</v>
      </c>
      <c r="AW24" s="7">
        <v>99</v>
      </c>
      <c r="AX24" s="7">
        <v>99</v>
      </c>
      <c r="AY24" s="7">
        <v>99</v>
      </c>
      <c r="AZ24" s="7">
        <v>5.7039024723034135</v>
      </c>
      <c r="BA24" s="7">
        <v>99</v>
      </c>
      <c r="BB24" s="7">
        <v>99</v>
      </c>
      <c r="BC24" s="7">
        <v>99</v>
      </c>
      <c r="BD24" s="7">
        <v>99</v>
      </c>
      <c r="BE24" s="7">
        <v>99</v>
      </c>
      <c r="BF24" s="7">
        <v>99</v>
      </c>
    </row>
    <row r="25" spans="6:58" x14ac:dyDescent="0.45">
      <c r="F25" s="1">
        <f>NetNum!J25</f>
        <v>24</v>
      </c>
      <c r="G25" s="1">
        <f>NetNum!K25</f>
        <v>13</v>
      </c>
      <c r="H25" s="1">
        <f>NetNum!L25</f>
        <v>29</v>
      </c>
      <c r="I25" s="1">
        <f>NetNum!Q25</f>
        <v>2000</v>
      </c>
      <c r="J25" s="6">
        <f>NetNum!R25</f>
        <v>6.8571428571428568</v>
      </c>
      <c r="K25" s="7">
        <v>3848.2909089013942</v>
      </c>
      <c r="L25" s="6">
        <f t="shared" si="1"/>
        <v>20.956069566963794</v>
      </c>
      <c r="N25" s="3">
        <v>24</v>
      </c>
      <c r="O25" s="7">
        <v>99</v>
      </c>
      <c r="P25" s="7">
        <v>99</v>
      </c>
      <c r="Q25" s="7">
        <v>99</v>
      </c>
      <c r="R25" s="7">
        <v>99</v>
      </c>
      <c r="S25" s="7">
        <v>99</v>
      </c>
      <c r="T25" s="7">
        <v>99</v>
      </c>
      <c r="U25" s="7">
        <v>99</v>
      </c>
      <c r="V25" s="7">
        <v>2.7272727272727275</v>
      </c>
      <c r="W25" s="7">
        <v>7.529882079457205</v>
      </c>
      <c r="X25" s="7">
        <v>99</v>
      </c>
      <c r="Y25" s="7">
        <v>99</v>
      </c>
      <c r="Z25" s="7">
        <v>99</v>
      </c>
      <c r="AA25" s="7">
        <v>99</v>
      </c>
      <c r="AB25" s="7">
        <v>99</v>
      </c>
      <c r="AC25" s="7">
        <v>99</v>
      </c>
      <c r="AD25" s="7">
        <v>99</v>
      </c>
      <c r="AE25" s="7">
        <v>99</v>
      </c>
      <c r="AF25" s="7">
        <v>99</v>
      </c>
      <c r="AG25" s="7">
        <v>99</v>
      </c>
      <c r="AH25" s="7">
        <v>99</v>
      </c>
      <c r="AI25" s="7">
        <v>99</v>
      </c>
      <c r="AJ25" s="7">
        <v>99</v>
      </c>
      <c r="AK25" s="7">
        <v>0.76623499576310783</v>
      </c>
      <c r="AL25" s="7">
        <v>99</v>
      </c>
      <c r="AM25" s="7">
        <v>3.3629624615239697</v>
      </c>
      <c r="AN25" s="7">
        <v>99</v>
      </c>
      <c r="AO25" s="7">
        <v>99</v>
      </c>
      <c r="AP25" s="7">
        <v>99</v>
      </c>
      <c r="AQ25" s="7">
        <v>99</v>
      </c>
      <c r="AR25" s="7">
        <v>99</v>
      </c>
      <c r="AS25" s="7">
        <v>99</v>
      </c>
      <c r="AT25" s="7">
        <v>99</v>
      </c>
      <c r="AU25" s="7">
        <v>99</v>
      </c>
      <c r="AV25" s="7">
        <v>99</v>
      </c>
      <c r="AW25" s="7">
        <v>99</v>
      </c>
      <c r="AX25" s="7">
        <v>99</v>
      </c>
      <c r="AY25" s="7">
        <v>99</v>
      </c>
      <c r="AZ25" s="7">
        <v>99</v>
      </c>
      <c r="BA25" s="7">
        <v>99</v>
      </c>
      <c r="BB25" s="7">
        <v>99</v>
      </c>
      <c r="BC25" s="7">
        <v>99</v>
      </c>
      <c r="BD25" s="7">
        <v>99</v>
      </c>
      <c r="BE25" s="7">
        <v>99</v>
      </c>
      <c r="BF25" s="7">
        <v>99</v>
      </c>
    </row>
    <row r="26" spans="6:58" x14ac:dyDescent="0.45">
      <c r="F26" s="1">
        <f>NetNum!J26</f>
        <v>25</v>
      </c>
      <c r="G26" s="1">
        <f>NetNum!K26</f>
        <v>14</v>
      </c>
      <c r="H26" s="1">
        <f>NetNum!L26</f>
        <v>3</v>
      </c>
      <c r="I26" s="1">
        <f>NetNum!Q26</f>
        <v>3500</v>
      </c>
      <c r="J26" s="6">
        <f>NetNum!R26</f>
        <v>2.7272727272727275</v>
      </c>
      <c r="K26" s="7">
        <v>0</v>
      </c>
      <c r="L26" s="6">
        <f t="shared" si="1"/>
        <v>2.7272727272727275</v>
      </c>
      <c r="N26" s="3">
        <v>25</v>
      </c>
      <c r="O26" s="7">
        <v>99</v>
      </c>
      <c r="P26" s="7">
        <v>99</v>
      </c>
      <c r="Q26" s="7">
        <v>99</v>
      </c>
      <c r="R26" s="7">
        <v>99</v>
      </c>
      <c r="S26" s="7">
        <v>99</v>
      </c>
      <c r="T26" s="7">
        <v>99</v>
      </c>
      <c r="U26" s="7">
        <v>99</v>
      </c>
      <c r="V26" s="7">
        <v>99</v>
      </c>
      <c r="W26" s="7">
        <v>99</v>
      </c>
      <c r="X26" s="7">
        <v>6.0014877252869727</v>
      </c>
      <c r="Y26" s="7">
        <v>99</v>
      </c>
      <c r="Z26" s="7">
        <v>99</v>
      </c>
      <c r="AA26" s="7">
        <v>99</v>
      </c>
      <c r="AB26" s="7">
        <v>99</v>
      </c>
      <c r="AC26" s="7">
        <v>99</v>
      </c>
      <c r="AD26" s="7">
        <v>99</v>
      </c>
      <c r="AE26" s="7">
        <v>99</v>
      </c>
      <c r="AF26" s="7">
        <v>99</v>
      </c>
      <c r="AG26" s="7">
        <v>99</v>
      </c>
      <c r="AH26" s="7">
        <v>99</v>
      </c>
      <c r="AI26" s="7">
        <v>99</v>
      </c>
      <c r="AJ26" s="7">
        <v>99</v>
      </c>
      <c r="AK26" s="7">
        <v>99</v>
      </c>
      <c r="AL26" s="7">
        <v>3.3375792053460422</v>
      </c>
      <c r="AM26" s="7">
        <v>99</v>
      </c>
      <c r="AN26" s="7">
        <v>2.6561904458976713</v>
      </c>
      <c r="AO26" s="7">
        <v>99</v>
      </c>
      <c r="AP26" s="7">
        <v>99</v>
      </c>
      <c r="AQ26" s="7">
        <v>99</v>
      </c>
      <c r="AR26" s="7">
        <v>99</v>
      </c>
      <c r="AS26" s="7">
        <v>99</v>
      </c>
      <c r="AT26" s="7">
        <v>99</v>
      </c>
      <c r="AU26" s="7">
        <v>99</v>
      </c>
      <c r="AV26" s="7">
        <v>99</v>
      </c>
      <c r="AW26" s="7">
        <v>99</v>
      </c>
      <c r="AX26" s="7">
        <v>99</v>
      </c>
      <c r="AY26" s="7">
        <v>99</v>
      </c>
      <c r="AZ26" s="7">
        <v>99</v>
      </c>
      <c r="BA26" s="7">
        <v>99</v>
      </c>
      <c r="BB26" s="7">
        <v>99</v>
      </c>
      <c r="BC26" s="7">
        <v>99</v>
      </c>
      <c r="BD26" s="7">
        <v>99</v>
      </c>
      <c r="BE26" s="7">
        <v>99</v>
      </c>
      <c r="BF26" s="7">
        <v>99</v>
      </c>
    </row>
    <row r="27" spans="6:58" x14ac:dyDescent="0.45">
      <c r="F27" s="1">
        <f>NetNum!J27</f>
        <v>26</v>
      </c>
      <c r="G27" s="1">
        <f>NetNum!K27</f>
        <v>14</v>
      </c>
      <c r="H27" s="1">
        <f>NetNum!L27</f>
        <v>13</v>
      </c>
      <c r="I27" s="1">
        <f>NetNum!Q27</f>
        <v>4000</v>
      </c>
      <c r="J27" s="6">
        <f>NetNum!R27</f>
        <v>3.5</v>
      </c>
      <c r="K27" s="7">
        <v>7415.90732164975</v>
      </c>
      <c r="L27" s="6">
        <f t="shared" si="1"/>
        <v>9.7026391048120164</v>
      </c>
      <c r="N27" s="3">
        <v>26</v>
      </c>
      <c r="O27" s="7">
        <v>99</v>
      </c>
      <c r="P27" s="7">
        <v>99</v>
      </c>
      <c r="Q27" s="7">
        <v>99</v>
      </c>
      <c r="R27" s="7">
        <v>99</v>
      </c>
      <c r="S27" s="7">
        <v>99</v>
      </c>
      <c r="T27" s="7">
        <v>99</v>
      </c>
      <c r="U27" s="7">
        <v>99</v>
      </c>
      <c r="V27" s="7">
        <v>99</v>
      </c>
      <c r="W27" s="7">
        <v>99</v>
      </c>
      <c r="X27" s="7">
        <v>99</v>
      </c>
      <c r="Y27" s="7">
        <v>7.9072809564990116</v>
      </c>
      <c r="Z27" s="7">
        <v>99</v>
      </c>
      <c r="AA27" s="7">
        <v>99</v>
      </c>
      <c r="AB27" s="7">
        <v>99</v>
      </c>
      <c r="AC27" s="7">
        <v>99</v>
      </c>
      <c r="AD27" s="7">
        <v>99</v>
      </c>
      <c r="AE27" s="7">
        <v>99</v>
      </c>
      <c r="AF27" s="7">
        <v>99</v>
      </c>
      <c r="AG27" s="7">
        <v>99</v>
      </c>
      <c r="AH27" s="7">
        <v>99</v>
      </c>
      <c r="AI27" s="7">
        <v>99</v>
      </c>
      <c r="AJ27" s="7">
        <v>99</v>
      </c>
      <c r="AK27" s="7">
        <v>99</v>
      </c>
      <c r="AL27" s="7">
        <v>99</v>
      </c>
      <c r="AM27" s="7">
        <v>2.7864705698498939</v>
      </c>
      <c r="AN27" s="7">
        <v>99</v>
      </c>
      <c r="AO27" s="7">
        <v>4.4532698623907994</v>
      </c>
      <c r="AP27" s="7">
        <v>99</v>
      </c>
      <c r="AQ27" s="7">
        <v>99</v>
      </c>
      <c r="AR27" s="7">
        <v>99</v>
      </c>
      <c r="AS27" s="7">
        <v>99</v>
      </c>
      <c r="AT27" s="7">
        <v>99</v>
      </c>
      <c r="AU27" s="7">
        <v>99</v>
      </c>
      <c r="AV27" s="7">
        <v>99</v>
      </c>
      <c r="AW27" s="7">
        <v>99</v>
      </c>
      <c r="AX27" s="7">
        <v>99</v>
      </c>
      <c r="AY27" s="7">
        <v>99</v>
      </c>
      <c r="AZ27" s="7">
        <v>1.8531009743737354</v>
      </c>
      <c r="BA27" s="7">
        <v>99</v>
      </c>
      <c r="BB27" s="7">
        <v>99</v>
      </c>
      <c r="BC27" s="7">
        <v>99</v>
      </c>
      <c r="BD27" s="7">
        <v>99</v>
      </c>
      <c r="BE27" s="7">
        <v>99</v>
      </c>
      <c r="BF27" s="7">
        <v>99</v>
      </c>
    </row>
    <row r="28" spans="6:58" x14ac:dyDescent="0.45">
      <c r="F28" s="1">
        <f>NetNum!J28</f>
        <v>27</v>
      </c>
      <c r="G28" s="1">
        <f>NetNum!K28</f>
        <v>14</v>
      </c>
      <c r="H28" s="1">
        <f>NetNum!L28</f>
        <v>15</v>
      </c>
      <c r="I28" s="1">
        <f>NetNum!Q28</f>
        <v>4000</v>
      </c>
      <c r="J28" s="6">
        <f>NetNum!R28</f>
        <v>5.5</v>
      </c>
      <c r="K28" s="7">
        <v>3890.8415577602814</v>
      </c>
      <c r="L28" s="6">
        <f t="shared" si="1"/>
        <v>6.2385640542394381</v>
      </c>
      <c r="N28" s="3">
        <v>27</v>
      </c>
      <c r="O28" s="7">
        <v>99</v>
      </c>
      <c r="P28" s="7">
        <v>99</v>
      </c>
      <c r="Q28" s="7">
        <v>99</v>
      </c>
      <c r="R28" s="7">
        <v>99</v>
      </c>
      <c r="S28" s="7">
        <v>99</v>
      </c>
      <c r="T28" s="7">
        <v>99</v>
      </c>
      <c r="U28" s="7">
        <v>99</v>
      </c>
      <c r="V28" s="7">
        <v>99</v>
      </c>
      <c r="W28" s="7">
        <v>99</v>
      </c>
      <c r="X28" s="7">
        <v>99</v>
      </c>
      <c r="Y28" s="7">
        <v>99</v>
      </c>
      <c r="Z28" s="7">
        <v>13.956213416018425</v>
      </c>
      <c r="AA28" s="7">
        <v>99</v>
      </c>
      <c r="AB28" s="7">
        <v>99</v>
      </c>
      <c r="AC28" s="7">
        <v>99</v>
      </c>
      <c r="AD28" s="7">
        <v>99</v>
      </c>
      <c r="AE28" s="7">
        <v>99</v>
      </c>
      <c r="AF28" s="7">
        <v>99</v>
      </c>
      <c r="AG28" s="7">
        <v>99</v>
      </c>
      <c r="AH28" s="7">
        <v>99</v>
      </c>
      <c r="AI28" s="7">
        <v>99</v>
      </c>
      <c r="AJ28" s="7">
        <v>99</v>
      </c>
      <c r="AK28" s="7">
        <v>99</v>
      </c>
      <c r="AL28" s="7">
        <v>99</v>
      </c>
      <c r="AM28" s="7">
        <v>99</v>
      </c>
      <c r="AN28" s="7">
        <v>4.4176654680585843</v>
      </c>
      <c r="AO28" s="7">
        <v>99</v>
      </c>
      <c r="AP28" s="7">
        <v>4.20982800258954</v>
      </c>
      <c r="AQ28" s="7">
        <v>99</v>
      </c>
      <c r="AR28" s="7">
        <v>99</v>
      </c>
      <c r="AS28" s="7">
        <v>99</v>
      </c>
      <c r="AT28" s="7">
        <v>99</v>
      </c>
      <c r="AU28" s="7">
        <v>99</v>
      </c>
      <c r="AV28" s="7">
        <v>99</v>
      </c>
      <c r="AW28" s="7">
        <v>99</v>
      </c>
      <c r="AX28" s="7">
        <v>99</v>
      </c>
      <c r="AY28" s="7">
        <v>99</v>
      </c>
      <c r="AZ28" s="7">
        <v>99</v>
      </c>
      <c r="BA28" s="7">
        <v>5.1729446714184464</v>
      </c>
      <c r="BB28" s="7">
        <v>99</v>
      </c>
      <c r="BC28" s="7">
        <v>99</v>
      </c>
      <c r="BD28" s="7">
        <v>99</v>
      </c>
      <c r="BE28" s="7">
        <v>99</v>
      </c>
      <c r="BF28" s="7">
        <v>99</v>
      </c>
    </row>
    <row r="29" spans="6:58" x14ac:dyDescent="0.45">
      <c r="F29" s="1">
        <f>NetNum!J29</f>
        <v>28</v>
      </c>
      <c r="G29" s="1">
        <f>NetNum!K29</f>
        <v>14</v>
      </c>
      <c r="H29" s="1">
        <f>NetNum!L29</f>
        <v>30</v>
      </c>
      <c r="I29" s="1">
        <f>NetNum!Q29</f>
        <v>2000</v>
      </c>
      <c r="J29" s="6">
        <f>NetNum!R29</f>
        <v>6.8571428571428568</v>
      </c>
      <c r="K29" s="7">
        <v>3675.3825186831177</v>
      </c>
      <c r="L29" s="6">
        <f t="shared" si="1"/>
        <v>18.587862490319679</v>
      </c>
      <c r="N29" s="3">
        <v>28</v>
      </c>
      <c r="O29" s="7">
        <v>99</v>
      </c>
      <c r="P29" s="7">
        <v>99</v>
      </c>
      <c r="Q29" s="7">
        <v>99</v>
      </c>
      <c r="R29" s="7">
        <v>99</v>
      </c>
      <c r="S29" s="7">
        <v>99</v>
      </c>
      <c r="T29" s="7">
        <v>99</v>
      </c>
      <c r="U29" s="7">
        <v>99</v>
      </c>
      <c r="V29" s="7">
        <v>99</v>
      </c>
      <c r="W29" s="7">
        <v>99</v>
      </c>
      <c r="X29" s="7">
        <v>99</v>
      </c>
      <c r="Y29" s="7">
        <v>99</v>
      </c>
      <c r="Z29" s="7">
        <v>99</v>
      </c>
      <c r="AA29" s="7">
        <v>99</v>
      </c>
      <c r="AB29" s="7">
        <v>99</v>
      </c>
      <c r="AC29" s="7">
        <v>99</v>
      </c>
      <c r="AD29" s="7">
        <v>99</v>
      </c>
      <c r="AE29" s="7">
        <v>99</v>
      </c>
      <c r="AF29" s="7">
        <v>99</v>
      </c>
      <c r="AG29" s="7">
        <v>99</v>
      </c>
      <c r="AH29" s="7">
        <v>99</v>
      </c>
      <c r="AI29" s="7">
        <v>99</v>
      </c>
      <c r="AJ29" s="7">
        <v>99</v>
      </c>
      <c r="AK29" s="7">
        <v>99</v>
      </c>
      <c r="AL29" s="7">
        <v>99</v>
      </c>
      <c r="AM29" s="7">
        <v>99</v>
      </c>
      <c r="AN29" s="7">
        <v>99</v>
      </c>
      <c r="AO29" s="7">
        <v>4.1966803205413283</v>
      </c>
      <c r="AP29" s="7">
        <v>99</v>
      </c>
      <c r="AQ29" s="7">
        <v>24.279542128139582</v>
      </c>
      <c r="AR29" s="7">
        <v>99</v>
      </c>
      <c r="AS29" s="7">
        <v>99</v>
      </c>
      <c r="AT29" s="7">
        <v>99</v>
      </c>
      <c r="AU29" s="7">
        <v>99</v>
      </c>
      <c r="AV29" s="7">
        <v>99</v>
      </c>
      <c r="AW29" s="7">
        <v>99</v>
      </c>
      <c r="AX29" s="7">
        <v>99</v>
      </c>
      <c r="AY29" s="7">
        <v>99</v>
      </c>
      <c r="AZ29" s="7">
        <v>99</v>
      </c>
      <c r="BA29" s="7">
        <v>99</v>
      </c>
      <c r="BB29" s="7">
        <v>5.9278624178602222</v>
      </c>
      <c r="BC29" s="7">
        <v>99</v>
      </c>
      <c r="BD29" s="7">
        <v>99</v>
      </c>
      <c r="BE29" s="7">
        <v>99</v>
      </c>
      <c r="BF29" s="7">
        <v>99</v>
      </c>
    </row>
    <row r="30" spans="6:58" x14ac:dyDescent="0.45">
      <c r="F30" s="1">
        <f>NetNum!J30</f>
        <v>29</v>
      </c>
      <c r="G30" s="1">
        <f>NetNum!K30</f>
        <v>15</v>
      </c>
      <c r="H30" s="1">
        <f>NetNum!L30</f>
        <v>14</v>
      </c>
      <c r="I30" s="1">
        <f>NetNum!Q30</f>
        <v>4000</v>
      </c>
      <c r="J30" s="6">
        <f>NetNum!R30</f>
        <v>5.5</v>
      </c>
      <c r="K30" s="7">
        <v>3748.1108333669981</v>
      </c>
      <c r="L30" s="6">
        <f t="shared" si="1"/>
        <v>6.1360096161474891</v>
      </c>
      <c r="N30" s="3">
        <v>29</v>
      </c>
      <c r="O30" s="7">
        <v>99</v>
      </c>
      <c r="P30" s="7">
        <v>99</v>
      </c>
      <c r="Q30" s="7">
        <v>99</v>
      </c>
      <c r="R30" s="7">
        <v>99</v>
      </c>
      <c r="S30" s="7">
        <v>99</v>
      </c>
      <c r="T30" s="7">
        <v>99</v>
      </c>
      <c r="U30" s="7">
        <v>99</v>
      </c>
      <c r="V30" s="7">
        <v>99</v>
      </c>
      <c r="W30" s="7">
        <v>99</v>
      </c>
      <c r="X30" s="7">
        <v>99</v>
      </c>
      <c r="Y30" s="7">
        <v>99</v>
      </c>
      <c r="Z30" s="7">
        <v>99</v>
      </c>
      <c r="AA30" s="7">
        <v>20.963401641638676</v>
      </c>
      <c r="AB30" s="7">
        <v>99</v>
      </c>
      <c r="AC30" s="7">
        <v>99</v>
      </c>
      <c r="AD30" s="7">
        <v>99</v>
      </c>
      <c r="AE30" s="7">
        <v>99</v>
      </c>
      <c r="AF30" s="7">
        <v>99</v>
      </c>
      <c r="AG30" s="7">
        <v>99</v>
      </c>
      <c r="AH30" s="7">
        <v>99</v>
      </c>
      <c r="AI30" s="7">
        <v>99</v>
      </c>
      <c r="AJ30" s="7">
        <v>99</v>
      </c>
      <c r="AK30" s="7">
        <v>99</v>
      </c>
      <c r="AL30" s="7">
        <v>99</v>
      </c>
      <c r="AM30" s="7">
        <v>99</v>
      </c>
      <c r="AN30" s="7">
        <v>99</v>
      </c>
      <c r="AO30" s="7">
        <v>99</v>
      </c>
      <c r="AP30" s="7">
        <v>24.37818703968421</v>
      </c>
      <c r="AQ30" s="7">
        <v>99</v>
      </c>
      <c r="AR30" s="7">
        <v>28.533420501816728</v>
      </c>
      <c r="AS30" s="7">
        <v>99</v>
      </c>
      <c r="AT30" s="7">
        <v>99</v>
      </c>
      <c r="AU30" s="7">
        <v>99</v>
      </c>
      <c r="AV30" s="7">
        <v>99</v>
      </c>
      <c r="AW30" s="7">
        <v>99</v>
      </c>
      <c r="AX30" s="7">
        <v>99</v>
      </c>
      <c r="AY30" s="7">
        <v>99</v>
      </c>
      <c r="AZ30" s="7">
        <v>99</v>
      </c>
      <c r="BA30" s="7">
        <v>99</v>
      </c>
      <c r="BB30" s="7">
        <v>99</v>
      </c>
      <c r="BC30" s="7">
        <v>99</v>
      </c>
      <c r="BD30" s="7">
        <v>99</v>
      </c>
      <c r="BE30" s="7">
        <v>99</v>
      </c>
      <c r="BF30" s="7">
        <v>99</v>
      </c>
    </row>
    <row r="31" spans="6:58" x14ac:dyDescent="0.45">
      <c r="F31" s="1">
        <f>NetNum!J31</f>
        <v>30</v>
      </c>
      <c r="G31" s="1">
        <f>NetNum!K31</f>
        <v>15</v>
      </c>
      <c r="H31" s="1">
        <f>NetNum!L31</f>
        <v>16</v>
      </c>
      <c r="I31" s="1">
        <f>NetNum!Q31</f>
        <v>4000</v>
      </c>
      <c r="J31" s="6">
        <f>NetNum!R31</f>
        <v>2</v>
      </c>
      <c r="K31" s="7">
        <v>5170.4434254895568</v>
      </c>
      <c r="L31" s="6">
        <f t="shared" si="1"/>
        <v>2.8375147247704908</v>
      </c>
      <c r="N31" s="3">
        <v>30</v>
      </c>
      <c r="O31" s="7">
        <v>99</v>
      </c>
      <c r="P31" s="7">
        <v>99</v>
      </c>
      <c r="Q31" s="7">
        <v>99</v>
      </c>
      <c r="R31" s="7">
        <v>99</v>
      </c>
      <c r="S31" s="7">
        <v>99</v>
      </c>
      <c r="T31" s="7">
        <v>99</v>
      </c>
      <c r="U31" s="7">
        <v>99</v>
      </c>
      <c r="V31" s="7">
        <v>99</v>
      </c>
      <c r="W31" s="7">
        <v>99</v>
      </c>
      <c r="X31" s="7">
        <v>99</v>
      </c>
      <c r="Y31" s="7">
        <v>99</v>
      </c>
      <c r="Z31" s="7">
        <v>99</v>
      </c>
      <c r="AA31" s="7">
        <v>99</v>
      </c>
      <c r="AB31" s="7">
        <v>18.49131258190171</v>
      </c>
      <c r="AC31" s="7">
        <v>8.2922490178658297</v>
      </c>
      <c r="AD31" s="7">
        <v>99</v>
      </c>
      <c r="AE31" s="7">
        <v>99</v>
      </c>
      <c r="AF31" s="7">
        <v>99</v>
      </c>
      <c r="AG31" s="7">
        <v>99</v>
      </c>
      <c r="AH31" s="7">
        <v>99</v>
      </c>
      <c r="AI31" s="7">
        <v>99</v>
      </c>
      <c r="AJ31" s="7">
        <v>99</v>
      </c>
      <c r="AK31" s="7">
        <v>99</v>
      </c>
      <c r="AL31" s="7">
        <v>99</v>
      </c>
      <c r="AM31" s="7">
        <v>99</v>
      </c>
      <c r="AN31" s="7">
        <v>99</v>
      </c>
      <c r="AO31" s="7">
        <v>99</v>
      </c>
      <c r="AP31" s="7">
        <v>99</v>
      </c>
      <c r="AQ31" s="7">
        <v>28.43201433772284</v>
      </c>
      <c r="AR31" s="7">
        <v>99</v>
      </c>
      <c r="AS31" s="7">
        <v>11.649389516081975</v>
      </c>
      <c r="AT31" s="7">
        <v>99</v>
      </c>
      <c r="AU31" s="7">
        <v>99</v>
      </c>
      <c r="AV31" s="7">
        <v>99</v>
      </c>
      <c r="AW31" s="7">
        <v>99</v>
      </c>
      <c r="AX31" s="7">
        <v>99</v>
      </c>
      <c r="AY31" s="7">
        <v>99</v>
      </c>
      <c r="AZ31" s="7">
        <v>99</v>
      </c>
      <c r="BA31" s="7">
        <v>99</v>
      </c>
      <c r="BB31" s="7">
        <v>99</v>
      </c>
      <c r="BC31" s="7">
        <v>99</v>
      </c>
      <c r="BD31" s="7">
        <v>99</v>
      </c>
      <c r="BE31" s="7">
        <v>99</v>
      </c>
      <c r="BF31" s="7">
        <v>99</v>
      </c>
    </row>
    <row r="32" spans="6:58" x14ac:dyDescent="0.45">
      <c r="F32" s="1">
        <f>NetNum!J32</f>
        <v>31</v>
      </c>
      <c r="G32" s="1">
        <f>NetNum!K32</f>
        <v>15</v>
      </c>
      <c r="H32" s="1">
        <f>NetNum!L32</f>
        <v>30</v>
      </c>
      <c r="I32" s="1">
        <f>NetNum!Q32</f>
        <v>2000</v>
      </c>
      <c r="J32" s="6">
        <f>NetNum!R32</f>
        <v>7.7142857142857135</v>
      </c>
      <c r="K32" s="7">
        <v>1693.7685186641158</v>
      </c>
      <c r="L32" s="6">
        <f t="shared" si="1"/>
        <v>8.3095135359561585</v>
      </c>
      <c r="N32" s="3">
        <v>31</v>
      </c>
      <c r="O32" s="7">
        <v>99</v>
      </c>
      <c r="P32" s="7">
        <v>99</v>
      </c>
      <c r="Q32" s="7">
        <v>99</v>
      </c>
      <c r="R32" s="7">
        <v>99</v>
      </c>
      <c r="S32" s="7">
        <v>99</v>
      </c>
      <c r="T32" s="7">
        <v>99</v>
      </c>
      <c r="U32" s="7">
        <v>99</v>
      </c>
      <c r="V32" s="7">
        <v>99</v>
      </c>
      <c r="W32" s="7">
        <v>99</v>
      </c>
      <c r="X32" s="7">
        <v>99</v>
      </c>
      <c r="Y32" s="7">
        <v>99</v>
      </c>
      <c r="Z32" s="7">
        <v>99</v>
      </c>
      <c r="AA32" s="7">
        <v>99</v>
      </c>
      <c r="AB32" s="7">
        <v>99</v>
      </c>
      <c r="AC32" s="7">
        <v>99</v>
      </c>
      <c r="AD32" s="7">
        <v>3.8229802956733461</v>
      </c>
      <c r="AE32" s="7">
        <v>99</v>
      </c>
      <c r="AF32" s="7">
        <v>99</v>
      </c>
      <c r="AG32" s="7">
        <v>99</v>
      </c>
      <c r="AH32" s="7">
        <v>99</v>
      </c>
      <c r="AI32" s="7">
        <v>99</v>
      </c>
      <c r="AJ32" s="7">
        <v>99</v>
      </c>
      <c r="AK32" s="7">
        <v>99</v>
      </c>
      <c r="AL32" s="7">
        <v>99</v>
      </c>
      <c r="AM32" s="7">
        <v>99</v>
      </c>
      <c r="AN32" s="7">
        <v>99</v>
      </c>
      <c r="AO32" s="7">
        <v>99</v>
      </c>
      <c r="AP32" s="7">
        <v>99</v>
      </c>
      <c r="AQ32" s="7">
        <v>99</v>
      </c>
      <c r="AR32" s="7">
        <v>11.730785760209594</v>
      </c>
      <c r="AS32" s="7">
        <v>99</v>
      </c>
      <c r="AT32" s="7">
        <v>8.1233369851498285</v>
      </c>
      <c r="AU32" s="7">
        <v>99</v>
      </c>
      <c r="AV32" s="7">
        <v>99</v>
      </c>
      <c r="AW32" s="7">
        <v>99</v>
      </c>
      <c r="AX32" s="7">
        <v>99</v>
      </c>
      <c r="AY32" s="7">
        <v>99</v>
      </c>
      <c r="AZ32" s="7">
        <v>99</v>
      </c>
      <c r="BA32" s="7">
        <v>99</v>
      </c>
      <c r="BB32" s="7">
        <v>99</v>
      </c>
      <c r="BC32" s="7">
        <v>99</v>
      </c>
      <c r="BD32" s="7">
        <v>99</v>
      </c>
      <c r="BE32" s="7">
        <v>99</v>
      </c>
      <c r="BF32" s="7">
        <v>99</v>
      </c>
    </row>
    <row r="33" spans="6:58" x14ac:dyDescent="0.45">
      <c r="F33" s="1">
        <f>NetNum!J33</f>
        <v>32</v>
      </c>
      <c r="G33" s="1">
        <f>NetNum!K33</f>
        <v>16</v>
      </c>
      <c r="H33" s="1">
        <f>NetNum!L33</f>
        <v>4</v>
      </c>
      <c r="I33" s="1">
        <f>NetNum!Q33</f>
        <v>3500</v>
      </c>
      <c r="J33" s="6">
        <f>NetNum!R33</f>
        <v>2.7272727272727275</v>
      </c>
      <c r="K33" s="7">
        <v>0</v>
      </c>
      <c r="L33" s="6">
        <f t="shared" si="1"/>
        <v>2.7272727272727275</v>
      </c>
      <c r="N33" s="3">
        <v>32</v>
      </c>
      <c r="O33" s="7">
        <v>99</v>
      </c>
      <c r="P33" s="7">
        <v>99</v>
      </c>
      <c r="Q33" s="7">
        <v>99</v>
      </c>
      <c r="R33" s="7">
        <v>99</v>
      </c>
      <c r="S33" s="7">
        <v>99</v>
      </c>
      <c r="T33" s="7">
        <v>99</v>
      </c>
      <c r="U33" s="7">
        <v>99</v>
      </c>
      <c r="V33" s="7">
        <v>99</v>
      </c>
      <c r="W33" s="7">
        <v>99</v>
      </c>
      <c r="X33" s="7">
        <v>99</v>
      </c>
      <c r="Y33" s="7">
        <v>99</v>
      </c>
      <c r="Z33" s="7">
        <v>99</v>
      </c>
      <c r="AA33" s="7">
        <v>99</v>
      </c>
      <c r="AB33" s="7">
        <v>99</v>
      </c>
      <c r="AC33" s="7">
        <v>99</v>
      </c>
      <c r="AD33" s="7">
        <v>99</v>
      </c>
      <c r="AE33" s="7">
        <v>1.7534960758360647</v>
      </c>
      <c r="AF33" s="7">
        <v>99</v>
      </c>
      <c r="AG33" s="7">
        <v>99</v>
      </c>
      <c r="AH33" s="7">
        <v>99</v>
      </c>
      <c r="AI33" s="7">
        <v>99</v>
      </c>
      <c r="AJ33" s="7">
        <v>99</v>
      </c>
      <c r="AK33" s="7">
        <v>99</v>
      </c>
      <c r="AL33" s="7">
        <v>99</v>
      </c>
      <c r="AM33" s="7">
        <v>99</v>
      </c>
      <c r="AN33" s="7">
        <v>99</v>
      </c>
      <c r="AO33" s="7">
        <v>99</v>
      </c>
      <c r="AP33" s="7">
        <v>99</v>
      </c>
      <c r="AQ33" s="7">
        <v>99</v>
      </c>
      <c r="AR33" s="7">
        <v>99</v>
      </c>
      <c r="AS33" s="7">
        <v>7.5948747667706122</v>
      </c>
      <c r="AT33" s="7">
        <v>99</v>
      </c>
      <c r="AU33" s="7">
        <v>16.936737655991415</v>
      </c>
      <c r="AV33" s="7">
        <v>99</v>
      </c>
      <c r="AW33" s="7">
        <v>99</v>
      </c>
      <c r="AX33" s="7">
        <v>99</v>
      </c>
      <c r="AY33" s="7">
        <v>99</v>
      </c>
      <c r="AZ33" s="7">
        <v>99</v>
      </c>
      <c r="BA33" s="7">
        <v>99</v>
      </c>
      <c r="BB33" s="7">
        <v>99</v>
      </c>
      <c r="BC33" s="7">
        <v>99</v>
      </c>
      <c r="BD33" s="7">
        <v>99</v>
      </c>
      <c r="BE33" s="7">
        <v>99</v>
      </c>
      <c r="BF33" s="7">
        <v>99</v>
      </c>
    </row>
    <row r="34" spans="6:58" x14ac:dyDescent="0.45">
      <c r="F34" s="1">
        <f>NetNum!J34</f>
        <v>33</v>
      </c>
      <c r="G34" s="1">
        <f>NetNum!K34</f>
        <v>16</v>
      </c>
      <c r="H34" s="1">
        <f>NetNum!L34</f>
        <v>15</v>
      </c>
      <c r="I34" s="1">
        <f>NetNum!Q34</f>
        <v>4000</v>
      </c>
      <c r="J34" s="6">
        <f>NetNum!R34</f>
        <v>2</v>
      </c>
      <c r="K34" s="7">
        <v>5040.1304883463181</v>
      </c>
      <c r="L34" s="6">
        <f t="shared" si="1"/>
        <v>2.7562204387680733</v>
      </c>
      <c r="N34" s="3">
        <v>33</v>
      </c>
      <c r="O34" s="7">
        <v>99</v>
      </c>
      <c r="P34" s="7">
        <v>99</v>
      </c>
      <c r="Q34" s="7">
        <v>99</v>
      </c>
      <c r="R34" s="7">
        <v>99</v>
      </c>
      <c r="S34" s="7">
        <v>99</v>
      </c>
      <c r="T34" s="7">
        <v>99</v>
      </c>
      <c r="U34" s="7">
        <v>99</v>
      </c>
      <c r="V34" s="7">
        <v>99</v>
      </c>
      <c r="W34" s="7">
        <v>99</v>
      </c>
      <c r="X34" s="7">
        <v>99</v>
      </c>
      <c r="Y34" s="7">
        <v>99</v>
      </c>
      <c r="Z34" s="7">
        <v>99</v>
      </c>
      <c r="AA34" s="7">
        <v>99</v>
      </c>
      <c r="AB34" s="7">
        <v>99</v>
      </c>
      <c r="AC34" s="7">
        <v>99</v>
      </c>
      <c r="AD34" s="7">
        <v>99</v>
      </c>
      <c r="AE34" s="7">
        <v>99</v>
      </c>
      <c r="AF34" s="7">
        <v>4.6823903221481737</v>
      </c>
      <c r="AG34" s="7">
        <v>99</v>
      </c>
      <c r="AH34" s="7">
        <v>99</v>
      </c>
      <c r="AI34" s="7">
        <v>99</v>
      </c>
      <c r="AJ34" s="7">
        <v>99</v>
      </c>
      <c r="AK34" s="7">
        <v>99</v>
      </c>
      <c r="AL34" s="7">
        <v>99</v>
      </c>
      <c r="AM34" s="7">
        <v>99</v>
      </c>
      <c r="AN34" s="7">
        <v>99</v>
      </c>
      <c r="AO34" s="7">
        <v>99</v>
      </c>
      <c r="AP34" s="7">
        <v>99</v>
      </c>
      <c r="AQ34" s="7">
        <v>99</v>
      </c>
      <c r="AR34" s="7">
        <v>99</v>
      </c>
      <c r="AS34" s="7">
        <v>99</v>
      </c>
      <c r="AT34" s="7">
        <v>15.697322608807699</v>
      </c>
      <c r="AU34" s="7">
        <v>99</v>
      </c>
      <c r="AV34" s="7">
        <v>3.3252498914883839</v>
      </c>
      <c r="AW34" s="7">
        <v>99</v>
      </c>
      <c r="AX34" s="7">
        <v>99</v>
      </c>
      <c r="AY34" s="7">
        <v>99</v>
      </c>
      <c r="AZ34" s="7">
        <v>99</v>
      </c>
      <c r="BA34" s="7">
        <v>99</v>
      </c>
      <c r="BB34" s="7">
        <v>99</v>
      </c>
      <c r="BC34" s="7">
        <v>99</v>
      </c>
      <c r="BD34" s="7">
        <v>27.666919918183105</v>
      </c>
      <c r="BE34" s="7">
        <v>99</v>
      </c>
      <c r="BF34" s="7">
        <v>99</v>
      </c>
    </row>
    <row r="35" spans="6:58" x14ac:dyDescent="0.45">
      <c r="F35" s="1">
        <f>NetNum!J35</f>
        <v>34</v>
      </c>
      <c r="G35" s="1">
        <f>NetNum!K35</f>
        <v>16</v>
      </c>
      <c r="H35" s="1">
        <f>NetNum!L35</f>
        <v>17</v>
      </c>
      <c r="I35" s="1">
        <f>NetNum!Q35</f>
        <v>4000</v>
      </c>
      <c r="J35" s="6">
        <f>NetNum!R35</f>
        <v>4.5</v>
      </c>
      <c r="K35" s="7">
        <v>3965.4380236331945</v>
      </c>
      <c r="L35" s="6">
        <f t="shared" si="1"/>
        <v>5.1519712934496047</v>
      </c>
      <c r="N35" s="3">
        <v>34</v>
      </c>
      <c r="O35" s="7">
        <v>99</v>
      </c>
      <c r="P35" s="7">
        <v>99</v>
      </c>
      <c r="Q35" s="7">
        <v>99</v>
      </c>
      <c r="R35" s="7">
        <v>99</v>
      </c>
      <c r="S35" s="7">
        <v>99</v>
      </c>
      <c r="T35" s="7">
        <v>99</v>
      </c>
      <c r="U35" s="7">
        <v>99</v>
      </c>
      <c r="V35" s="7">
        <v>99</v>
      </c>
      <c r="W35" s="7">
        <v>99</v>
      </c>
      <c r="X35" s="7">
        <v>99</v>
      </c>
      <c r="Y35" s="7">
        <v>99</v>
      </c>
      <c r="Z35" s="7">
        <v>99</v>
      </c>
      <c r="AA35" s="7">
        <v>99</v>
      </c>
      <c r="AB35" s="7">
        <v>99</v>
      </c>
      <c r="AC35" s="7">
        <v>99</v>
      </c>
      <c r="AD35" s="7">
        <v>99</v>
      </c>
      <c r="AE35" s="7">
        <v>99</v>
      </c>
      <c r="AF35" s="7">
        <v>99</v>
      </c>
      <c r="AG35" s="7">
        <v>3.2736750831547901</v>
      </c>
      <c r="AH35" s="7">
        <v>99</v>
      </c>
      <c r="AI35" s="7">
        <v>99</v>
      </c>
      <c r="AJ35" s="7">
        <v>99</v>
      </c>
      <c r="AK35" s="7">
        <v>99</v>
      </c>
      <c r="AL35" s="7">
        <v>99</v>
      </c>
      <c r="AM35" s="7">
        <v>99</v>
      </c>
      <c r="AN35" s="7">
        <v>99</v>
      </c>
      <c r="AO35" s="7">
        <v>99</v>
      </c>
      <c r="AP35" s="7">
        <v>99</v>
      </c>
      <c r="AQ35" s="7">
        <v>99</v>
      </c>
      <c r="AR35" s="7">
        <v>99</v>
      </c>
      <c r="AS35" s="7">
        <v>99</v>
      </c>
      <c r="AT35" s="7">
        <v>99</v>
      </c>
      <c r="AU35" s="7">
        <v>3.1846771357190979</v>
      </c>
      <c r="AV35" s="7">
        <v>99</v>
      </c>
      <c r="AW35" s="7">
        <v>2.4339634275617885</v>
      </c>
      <c r="AX35" s="7">
        <v>99</v>
      </c>
      <c r="AY35" s="7">
        <v>99</v>
      </c>
      <c r="AZ35" s="7">
        <v>99</v>
      </c>
      <c r="BA35" s="7">
        <v>99</v>
      </c>
      <c r="BB35" s="7">
        <v>99</v>
      </c>
      <c r="BC35" s="7">
        <v>99</v>
      </c>
      <c r="BD35" s="7">
        <v>99</v>
      </c>
      <c r="BE35" s="7">
        <v>99</v>
      </c>
      <c r="BF35" s="7">
        <v>99</v>
      </c>
    </row>
    <row r="36" spans="6:58" x14ac:dyDescent="0.45">
      <c r="F36" s="1">
        <f>NetNum!J36</f>
        <v>35</v>
      </c>
      <c r="G36" s="1">
        <f>NetNum!K36</f>
        <v>16</v>
      </c>
      <c r="H36" s="1">
        <f>NetNum!L36</f>
        <v>31</v>
      </c>
      <c r="I36" s="1">
        <f>NetNum!Q36</f>
        <v>3500</v>
      </c>
      <c r="J36" s="6">
        <f>NetNum!R36</f>
        <v>3.8181818181818179</v>
      </c>
      <c r="K36" s="7">
        <v>1205.0054018563599</v>
      </c>
      <c r="L36" s="6">
        <f t="shared" si="1"/>
        <v>3.8262287748378911</v>
      </c>
      <c r="N36" s="3">
        <v>35</v>
      </c>
      <c r="O36" s="7">
        <v>99</v>
      </c>
      <c r="P36" s="7">
        <v>99</v>
      </c>
      <c r="Q36" s="7">
        <v>99</v>
      </c>
      <c r="R36" s="7">
        <v>99</v>
      </c>
      <c r="S36" s="7">
        <v>99</v>
      </c>
      <c r="T36" s="7">
        <v>99</v>
      </c>
      <c r="U36" s="7">
        <v>99</v>
      </c>
      <c r="V36" s="7">
        <v>99</v>
      </c>
      <c r="W36" s="7">
        <v>99</v>
      </c>
      <c r="X36" s="7">
        <v>99</v>
      </c>
      <c r="Y36" s="7">
        <v>99</v>
      </c>
      <c r="Z36" s="7">
        <v>99</v>
      </c>
      <c r="AA36" s="7">
        <v>99</v>
      </c>
      <c r="AB36" s="7">
        <v>99</v>
      </c>
      <c r="AC36" s="7">
        <v>99</v>
      </c>
      <c r="AD36" s="7">
        <v>99</v>
      </c>
      <c r="AE36" s="7">
        <v>99</v>
      </c>
      <c r="AF36" s="7">
        <v>99</v>
      </c>
      <c r="AG36" s="7">
        <v>99</v>
      </c>
      <c r="AH36" s="7">
        <v>5.3333333333333339</v>
      </c>
      <c r="AI36" s="7">
        <v>99</v>
      </c>
      <c r="AJ36" s="7">
        <v>99</v>
      </c>
      <c r="AK36" s="7">
        <v>99</v>
      </c>
      <c r="AL36" s="7">
        <v>99</v>
      </c>
      <c r="AM36" s="7">
        <v>99</v>
      </c>
      <c r="AN36" s="7">
        <v>99</v>
      </c>
      <c r="AO36" s="7">
        <v>99</v>
      </c>
      <c r="AP36" s="7">
        <v>99</v>
      </c>
      <c r="AQ36" s="7">
        <v>99</v>
      </c>
      <c r="AR36" s="7">
        <v>99</v>
      </c>
      <c r="AS36" s="7">
        <v>99</v>
      </c>
      <c r="AT36" s="7">
        <v>99</v>
      </c>
      <c r="AU36" s="7">
        <v>99</v>
      </c>
      <c r="AV36" s="7">
        <v>2.2720320091866677</v>
      </c>
      <c r="AW36" s="7">
        <v>99</v>
      </c>
      <c r="AX36" s="7">
        <v>17.986885080135224</v>
      </c>
      <c r="AY36" s="7">
        <v>99</v>
      </c>
      <c r="AZ36" s="7">
        <v>99</v>
      </c>
      <c r="BA36" s="7">
        <v>99</v>
      </c>
      <c r="BB36" s="7">
        <v>99</v>
      </c>
      <c r="BC36" s="7">
        <v>99</v>
      </c>
      <c r="BD36" s="7">
        <v>99</v>
      </c>
      <c r="BE36" s="7">
        <v>99</v>
      </c>
      <c r="BF36" s="7">
        <v>99</v>
      </c>
    </row>
    <row r="37" spans="6:58" x14ac:dyDescent="0.45">
      <c r="F37" s="1">
        <f>NetNum!J37</f>
        <v>36</v>
      </c>
      <c r="G37" s="1">
        <f>NetNum!K37</f>
        <v>17</v>
      </c>
      <c r="H37" s="1">
        <f>NetNum!L37</f>
        <v>16</v>
      </c>
      <c r="I37" s="1">
        <f>NetNum!Q37</f>
        <v>4000</v>
      </c>
      <c r="J37" s="6">
        <f>NetNum!R37</f>
        <v>4.5</v>
      </c>
      <c r="K37" s="7">
        <v>3981.2256229763921</v>
      </c>
      <c r="L37" s="6">
        <f t="shared" si="1"/>
        <v>5.1624162374586708</v>
      </c>
      <c r="N37" s="3">
        <v>36</v>
      </c>
      <c r="O37" s="7">
        <v>99</v>
      </c>
      <c r="P37" s="7">
        <v>99</v>
      </c>
      <c r="Q37" s="7">
        <v>99</v>
      </c>
      <c r="R37" s="7">
        <v>99</v>
      </c>
      <c r="S37" s="7">
        <v>99</v>
      </c>
      <c r="T37" s="7">
        <v>99</v>
      </c>
      <c r="U37" s="7">
        <v>99</v>
      </c>
      <c r="V37" s="7">
        <v>99</v>
      </c>
      <c r="W37" s="7">
        <v>99</v>
      </c>
      <c r="X37" s="7">
        <v>99</v>
      </c>
      <c r="Y37" s="7">
        <v>99</v>
      </c>
      <c r="Z37" s="7">
        <v>99</v>
      </c>
      <c r="AA37" s="7">
        <v>99</v>
      </c>
      <c r="AB37" s="7">
        <v>99</v>
      </c>
      <c r="AC37" s="7">
        <v>99</v>
      </c>
      <c r="AD37" s="7">
        <v>99</v>
      </c>
      <c r="AE37" s="7">
        <v>99</v>
      </c>
      <c r="AF37" s="7">
        <v>99</v>
      </c>
      <c r="AG37" s="7">
        <v>99</v>
      </c>
      <c r="AH37" s="7">
        <v>99</v>
      </c>
      <c r="AI37" s="7">
        <v>7.570913081500219</v>
      </c>
      <c r="AJ37" s="7">
        <v>99</v>
      </c>
      <c r="AK37" s="7">
        <v>99</v>
      </c>
      <c r="AL37" s="7">
        <v>99</v>
      </c>
      <c r="AM37" s="7">
        <v>99</v>
      </c>
      <c r="AN37" s="7">
        <v>99</v>
      </c>
      <c r="AO37" s="7">
        <v>99</v>
      </c>
      <c r="AP37" s="7">
        <v>99</v>
      </c>
      <c r="AQ37" s="7">
        <v>99</v>
      </c>
      <c r="AR37" s="7">
        <v>99</v>
      </c>
      <c r="AS37" s="7">
        <v>99</v>
      </c>
      <c r="AT37" s="7">
        <v>99</v>
      </c>
      <c r="AU37" s="7">
        <v>99</v>
      </c>
      <c r="AV37" s="7">
        <v>99</v>
      </c>
      <c r="AW37" s="7">
        <v>14.473551627889305</v>
      </c>
      <c r="AX37" s="7">
        <v>99</v>
      </c>
      <c r="AY37" s="7">
        <v>1.1822999967290004</v>
      </c>
      <c r="AZ37" s="7">
        <v>99</v>
      </c>
      <c r="BA37" s="7">
        <v>99</v>
      </c>
      <c r="BB37" s="7">
        <v>99</v>
      </c>
      <c r="BC37" s="7">
        <v>99</v>
      </c>
      <c r="BD37" s="7">
        <v>99</v>
      </c>
      <c r="BE37" s="7">
        <v>14.988640919151752</v>
      </c>
      <c r="BF37" s="7">
        <v>99</v>
      </c>
    </row>
    <row r="38" spans="6:58" x14ac:dyDescent="0.45">
      <c r="F38" s="1">
        <f>NetNum!J38</f>
        <v>37</v>
      </c>
      <c r="G38" s="1">
        <f>NetNum!K38</f>
        <v>17</v>
      </c>
      <c r="H38" s="1">
        <f>NetNum!L38</f>
        <v>18</v>
      </c>
      <c r="I38" s="1">
        <f>NetNum!Q38</f>
        <v>4000</v>
      </c>
      <c r="J38" s="6">
        <f>NetNum!R38</f>
        <v>8.5</v>
      </c>
      <c r="K38" s="7">
        <v>5796.1883575469546</v>
      </c>
      <c r="L38" s="6">
        <f t="shared" si="1"/>
        <v>14.121344225055644</v>
      </c>
      <c r="N38" s="3">
        <v>37</v>
      </c>
      <c r="O38" s="7">
        <v>99</v>
      </c>
      <c r="P38" s="7">
        <v>99</v>
      </c>
      <c r="Q38" s="7">
        <v>99</v>
      </c>
      <c r="R38" s="7">
        <v>99</v>
      </c>
      <c r="S38" s="7">
        <v>99</v>
      </c>
      <c r="T38" s="7">
        <v>99</v>
      </c>
      <c r="U38" s="7">
        <v>99</v>
      </c>
      <c r="V38" s="7">
        <v>99</v>
      </c>
      <c r="W38" s="7">
        <v>99</v>
      </c>
      <c r="X38" s="7">
        <v>99</v>
      </c>
      <c r="Y38" s="7">
        <v>99</v>
      </c>
      <c r="Z38" s="7">
        <v>99</v>
      </c>
      <c r="AA38" s="7">
        <v>99</v>
      </c>
      <c r="AB38" s="7">
        <v>99</v>
      </c>
      <c r="AC38" s="7">
        <v>99</v>
      </c>
      <c r="AD38" s="7">
        <v>99</v>
      </c>
      <c r="AE38" s="7">
        <v>99</v>
      </c>
      <c r="AF38" s="7">
        <v>99</v>
      </c>
      <c r="AG38" s="7">
        <v>99</v>
      </c>
      <c r="AH38" s="7">
        <v>99</v>
      </c>
      <c r="AI38" s="7">
        <v>99</v>
      </c>
      <c r="AJ38" s="7">
        <v>6.6666666666666661</v>
      </c>
      <c r="AK38" s="7">
        <v>99</v>
      </c>
      <c r="AL38" s="7">
        <v>99</v>
      </c>
      <c r="AM38" s="7">
        <v>99</v>
      </c>
      <c r="AN38" s="7">
        <v>99</v>
      </c>
      <c r="AO38" s="7">
        <v>99</v>
      </c>
      <c r="AP38" s="7">
        <v>99</v>
      </c>
      <c r="AQ38" s="7">
        <v>99</v>
      </c>
      <c r="AR38" s="7">
        <v>99</v>
      </c>
      <c r="AS38" s="7">
        <v>99</v>
      </c>
      <c r="AT38" s="7">
        <v>99</v>
      </c>
      <c r="AU38" s="7">
        <v>99</v>
      </c>
      <c r="AV38" s="7">
        <v>99</v>
      </c>
      <c r="AW38" s="7">
        <v>99</v>
      </c>
      <c r="AX38" s="7">
        <v>1.1151945391199438</v>
      </c>
      <c r="AY38" s="7">
        <v>99</v>
      </c>
      <c r="AZ38" s="7">
        <v>8.5827846713564551</v>
      </c>
      <c r="BA38" s="7">
        <v>99</v>
      </c>
      <c r="BB38" s="7">
        <v>99</v>
      </c>
      <c r="BC38" s="7">
        <v>99</v>
      </c>
      <c r="BD38" s="7">
        <v>99</v>
      </c>
      <c r="BE38" s="7">
        <v>99</v>
      </c>
      <c r="BF38" s="7">
        <v>4.2110449091468949</v>
      </c>
    </row>
    <row r="39" spans="6:58" x14ac:dyDescent="0.45">
      <c r="F39" s="1">
        <f>NetNum!J39</f>
        <v>38</v>
      </c>
      <c r="G39" s="1">
        <f>NetNum!K39</f>
        <v>17</v>
      </c>
      <c r="H39" s="1">
        <f>NetNum!L39</f>
        <v>32</v>
      </c>
      <c r="I39" s="1">
        <f>NetNum!Q39</f>
        <v>3000</v>
      </c>
      <c r="J39" s="6">
        <f>NetNum!R39</f>
        <v>1.3333333333333335</v>
      </c>
      <c r="K39" s="7">
        <v>3646.8724982881972</v>
      </c>
      <c r="L39" s="6">
        <f t="shared" si="1"/>
        <v>1.7700776839563759</v>
      </c>
      <c r="N39" s="3">
        <v>38</v>
      </c>
      <c r="O39" s="7">
        <v>99</v>
      </c>
      <c r="P39" s="7">
        <v>99</v>
      </c>
      <c r="Q39" s="7">
        <v>99</v>
      </c>
      <c r="R39" s="7">
        <v>99</v>
      </c>
      <c r="S39" s="7">
        <v>99</v>
      </c>
      <c r="T39" s="7">
        <v>99</v>
      </c>
      <c r="U39" s="7">
        <v>99</v>
      </c>
      <c r="V39" s="7">
        <v>99</v>
      </c>
      <c r="W39" s="7">
        <v>99</v>
      </c>
      <c r="X39" s="7">
        <v>99</v>
      </c>
      <c r="Y39" s="7">
        <v>99</v>
      </c>
      <c r="Z39" s="7">
        <v>99</v>
      </c>
      <c r="AA39" s="7">
        <v>99</v>
      </c>
      <c r="AB39" s="7">
        <v>99</v>
      </c>
      <c r="AC39" s="7">
        <v>99</v>
      </c>
      <c r="AD39" s="7">
        <v>99</v>
      </c>
      <c r="AE39" s="7">
        <v>99</v>
      </c>
      <c r="AF39" s="7">
        <v>99</v>
      </c>
      <c r="AG39" s="7">
        <v>99</v>
      </c>
      <c r="AH39" s="7">
        <v>99</v>
      </c>
      <c r="AI39" s="7">
        <v>99</v>
      </c>
      <c r="AJ39" s="7">
        <v>99</v>
      </c>
      <c r="AK39" s="7">
        <v>5.5865550230622114</v>
      </c>
      <c r="AL39" s="7">
        <v>99</v>
      </c>
      <c r="AM39" s="7">
        <v>99</v>
      </c>
      <c r="AN39" s="7">
        <v>1.9261952144148928</v>
      </c>
      <c r="AO39" s="7">
        <v>99</v>
      </c>
      <c r="AP39" s="7">
        <v>99</v>
      </c>
      <c r="AQ39" s="7">
        <v>99</v>
      </c>
      <c r="AR39" s="7">
        <v>99</v>
      </c>
      <c r="AS39" s="7">
        <v>99</v>
      </c>
      <c r="AT39" s="7">
        <v>99</v>
      </c>
      <c r="AU39" s="7">
        <v>99</v>
      </c>
      <c r="AV39" s="7">
        <v>99</v>
      </c>
      <c r="AW39" s="7">
        <v>99</v>
      </c>
      <c r="AX39" s="7">
        <v>99</v>
      </c>
      <c r="AY39" s="7">
        <v>7.8720757250805393</v>
      </c>
      <c r="AZ39" s="7">
        <v>99</v>
      </c>
      <c r="BA39" s="7">
        <v>4.0506375326976558</v>
      </c>
      <c r="BB39" s="7">
        <v>99</v>
      </c>
      <c r="BC39" s="7">
        <v>99</v>
      </c>
      <c r="BD39" s="7">
        <v>99</v>
      </c>
      <c r="BE39" s="7">
        <v>99</v>
      </c>
      <c r="BF39" s="7">
        <v>99</v>
      </c>
    </row>
    <row r="40" spans="6:58" x14ac:dyDescent="0.45">
      <c r="F40" s="1">
        <f>NetNum!J40</f>
        <v>39</v>
      </c>
      <c r="G40" s="1">
        <f>NetNum!K40</f>
        <v>18</v>
      </c>
      <c r="H40" s="1">
        <f>NetNum!L40</f>
        <v>5</v>
      </c>
      <c r="I40" s="1">
        <f>NetNum!Q40</f>
        <v>3500</v>
      </c>
      <c r="J40" s="6">
        <f>NetNum!R40</f>
        <v>2.7272727272727275</v>
      </c>
      <c r="K40" s="7">
        <v>0</v>
      </c>
      <c r="L40" s="6">
        <f t="shared" si="1"/>
        <v>2.7272727272727275</v>
      </c>
      <c r="N40" s="3">
        <v>39</v>
      </c>
      <c r="O40" s="7">
        <v>99</v>
      </c>
      <c r="P40" s="7">
        <v>99</v>
      </c>
      <c r="Q40" s="7">
        <v>99</v>
      </c>
      <c r="R40" s="7">
        <v>99</v>
      </c>
      <c r="S40" s="7">
        <v>99</v>
      </c>
      <c r="T40" s="7">
        <v>99</v>
      </c>
      <c r="U40" s="7">
        <v>99</v>
      </c>
      <c r="V40" s="7">
        <v>99</v>
      </c>
      <c r="W40" s="7">
        <v>99</v>
      </c>
      <c r="X40" s="7">
        <v>99</v>
      </c>
      <c r="Y40" s="7">
        <v>99</v>
      </c>
      <c r="Z40" s="7">
        <v>99</v>
      </c>
      <c r="AA40" s="7">
        <v>99</v>
      </c>
      <c r="AB40" s="7">
        <v>99</v>
      </c>
      <c r="AC40" s="7">
        <v>99</v>
      </c>
      <c r="AD40" s="7">
        <v>99</v>
      </c>
      <c r="AE40" s="7">
        <v>99</v>
      </c>
      <c r="AF40" s="7">
        <v>99</v>
      </c>
      <c r="AG40" s="7">
        <v>99</v>
      </c>
      <c r="AH40" s="7">
        <v>99</v>
      </c>
      <c r="AI40" s="7">
        <v>99</v>
      </c>
      <c r="AJ40" s="7">
        <v>99</v>
      </c>
      <c r="AK40" s="7">
        <v>99</v>
      </c>
      <c r="AL40" s="7">
        <v>99</v>
      </c>
      <c r="AM40" s="7">
        <v>99</v>
      </c>
      <c r="AN40" s="7">
        <v>99</v>
      </c>
      <c r="AO40" s="7">
        <v>5.4525620213995163</v>
      </c>
      <c r="AP40" s="7">
        <v>99</v>
      </c>
      <c r="AQ40" s="7">
        <v>99</v>
      </c>
      <c r="AR40" s="7">
        <v>99</v>
      </c>
      <c r="AS40" s="7">
        <v>99</v>
      </c>
      <c r="AT40" s="7">
        <v>99</v>
      </c>
      <c r="AU40" s="7">
        <v>99</v>
      </c>
      <c r="AV40" s="7">
        <v>99</v>
      </c>
      <c r="AW40" s="7">
        <v>99</v>
      </c>
      <c r="AX40" s="7">
        <v>99</v>
      </c>
      <c r="AY40" s="7">
        <v>99</v>
      </c>
      <c r="AZ40" s="7">
        <v>4.0337484080293047</v>
      </c>
      <c r="BA40" s="7">
        <v>99</v>
      </c>
      <c r="BB40" s="7">
        <v>3.9005612714202158</v>
      </c>
      <c r="BC40" s="7">
        <v>99</v>
      </c>
      <c r="BD40" s="7">
        <v>99</v>
      </c>
      <c r="BE40" s="7">
        <v>99</v>
      </c>
      <c r="BF40" s="7">
        <v>6.6628590086804218</v>
      </c>
    </row>
    <row r="41" spans="6:58" x14ac:dyDescent="0.45">
      <c r="F41" s="1">
        <f>NetNum!J41</f>
        <v>40</v>
      </c>
      <c r="G41" s="1">
        <f>NetNum!K41</f>
        <v>18</v>
      </c>
      <c r="H41" s="1">
        <f>NetNum!L41</f>
        <v>17</v>
      </c>
      <c r="I41" s="1">
        <f>NetNum!Q41</f>
        <v>4000</v>
      </c>
      <c r="J41" s="6">
        <f>NetNum!R41</f>
        <v>8.5</v>
      </c>
      <c r="K41" s="7">
        <v>5847.0946368433133</v>
      </c>
      <c r="L41" s="6">
        <f t="shared" si="1"/>
        <v>14.321443834671141</v>
      </c>
      <c r="N41" s="3">
        <v>40</v>
      </c>
      <c r="O41" s="7">
        <v>99</v>
      </c>
      <c r="P41" s="7">
        <v>99</v>
      </c>
      <c r="Q41" s="7">
        <v>99</v>
      </c>
      <c r="R41" s="7">
        <v>99</v>
      </c>
      <c r="S41" s="7">
        <v>99</v>
      </c>
      <c r="T41" s="7">
        <v>99</v>
      </c>
      <c r="U41" s="7">
        <v>99</v>
      </c>
      <c r="V41" s="7">
        <v>99</v>
      </c>
      <c r="W41" s="7">
        <v>99</v>
      </c>
      <c r="X41" s="7">
        <v>99</v>
      </c>
      <c r="Y41" s="7">
        <v>99</v>
      </c>
      <c r="Z41" s="7">
        <v>99</v>
      </c>
      <c r="AA41" s="7">
        <v>99</v>
      </c>
      <c r="AB41" s="7">
        <v>99</v>
      </c>
      <c r="AC41" s="7">
        <v>99</v>
      </c>
      <c r="AD41" s="7">
        <v>99</v>
      </c>
      <c r="AE41" s="7">
        <v>99</v>
      </c>
      <c r="AF41" s="7">
        <v>99</v>
      </c>
      <c r="AG41" s="7">
        <v>99</v>
      </c>
      <c r="AH41" s="7">
        <v>99</v>
      </c>
      <c r="AI41" s="7">
        <v>99</v>
      </c>
      <c r="AJ41" s="7">
        <v>99</v>
      </c>
      <c r="AK41" s="7">
        <v>99</v>
      </c>
      <c r="AL41" s="7">
        <v>99</v>
      </c>
      <c r="AM41" s="7">
        <v>99</v>
      </c>
      <c r="AN41" s="7">
        <v>99</v>
      </c>
      <c r="AO41" s="7">
        <v>99</v>
      </c>
      <c r="AP41" s="7">
        <v>5.8722650303204063</v>
      </c>
      <c r="AQ41" s="7">
        <v>99</v>
      </c>
      <c r="AR41" s="7">
        <v>99</v>
      </c>
      <c r="AS41" s="7">
        <v>99</v>
      </c>
      <c r="AT41" s="7">
        <v>99</v>
      </c>
      <c r="AU41" s="7">
        <v>99</v>
      </c>
      <c r="AV41" s="7">
        <v>99</v>
      </c>
      <c r="AW41" s="7">
        <v>99</v>
      </c>
      <c r="AX41" s="7">
        <v>99</v>
      </c>
      <c r="AY41" s="7">
        <v>99</v>
      </c>
      <c r="AZ41" s="7">
        <v>99</v>
      </c>
      <c r="BA41" s="7">
        <v>3.8929583120463058</v>
      </c>
      <c r="BB41" s="7">
        <v>99</v>
      </c>
      <c r="BC41" s="7">
        <v>8.7703438885234437</v>
      </c>
      <c r="BD41" s="7">
        <v>99</v>
      </c>
      <c r="BE41" s="7">
        <v>99</v>
      </c>
      <c r="BF41" s="7">
        <v>99</v>
      </c>
    </row>
    <row r="42" spans="6:58" x14ac:dyDescent="0.45">
      <c r="F42" s="1">
        <f>NetNum!J42</f>
        <v>41</v>
      </c>
      <c r="G42" s="1">
        <f>NetNum!K42</f>
        <v>18</v>
      </c>
      <c r="H42" s="1">
        <f>NetNum!L42</f>
        <v>19</v>
      </c>
      <c r="I42" s="1">
        <f>NetNum!Q42</f>
        <v>4000</v>
      </c>
      <c r="J42" s="6">
        <f>NetNum!R42</f>
        <v>3</v>
      </c>
      <c r="K42" s="7">
        <v>3897.950175837419</v>
      </c>
      <c r="L42" s="6">
        <f t="shared" si="1"/>
        <v>3.4058052701519816</v>
      </c>
      <c r="N42" s="3">
        <v>41</v>
      </c>
      <c r="O42" s="7">
        <v>99</v>
      </c>
      <c r="P42" s="7">
        <v>99</v>
      </c>
      <c r="Q42" s="7">
        <v>99</v>
      </c>
      <c r="R42" s="7">
        <v>99</v>
      </c>
      <c r="S42" s="7">
        <v>99</v>
      </c>
      <c r="T42" s="7">
        <v>99</v>
      </c>
      <c r="U42" s="7">
        <v>99</v>
      </c>
      <c r="V42" s="7">
        <v>99</v>
      </c>
      <c r="W42" s="7">
        <v>99</v>
      </c>
      <c r="X42" s="7">
        <v>99</v>
      </c>
      <c r="Y42" s="7">
        <v>99</v>
      </c>
      <c r="Z42" s="7">
        <v>99</v>
      </c>
      <c r="AA42" s="7">
        <v>99</v>
      </c>
      <c r="AB42" s="7">
        <v>99</v>
      </c>
      <c r="AC42" s="7">
        <v>99</v>
      </c>
      <c r="AD42" s="7">
        <v>99</v>
      </c>
      <c r="AE42" s="7">
        <v>99</v>
      </c>
      <c r="AF42" s="7">
        <v>99</v>
      </c>
      <c r="AG42" s="7">
        <v>99</v>
      </c>
      <c r="AH42" s="7">
        <v>99</v>
      </c>
      <c r="AI42" s="7">
        <v>99</v>
      </c>
      <c r="AJ42" s="7">
        <v>99</v>
      </c>
      <c r="AK42" s="7">
        <v>99</v>
      </c>
      <c r="AL42" s="7">
        <v>99</v>
      </c>
      <c r="AM42" s="7">
        <v>99</v>
      </c>
      <c r="AN42" s="7">
        <v>99</v>
      </c>
      <c r="AO42" s="7">
        <v>99</v>
      </c>
      <c r="AP42" s="7">
        <v>99</v>
      </c>
      <c r="AQ42" s="7">
        <v>99</v>
      </c>
      <c r="AR42" s="7">
        <v>99</v>
      </c>
      <c r="AS42" s="7">
        <v>99</v>
      </c>
      <c r="AT42" s="7">
        <v>99</v>
      </c>
      <c r="AU42" s="7">
        <v>99</v>
      </c>
      <c r="AV42" s="7">
        <v>99</v>
      </c>
      <c r="AW42" s="7">
        <v>99</v>
      </c>
      <c r="AX42" s="7">
        <v>99</v>
      </c>
      <c r="AY42" s="7">
        <v>99</v>
      </c>
      <c r="AZ42" s="7">
        <v>99</v>
      </c>
      <c r="BA42" s="7">
        <v>99</v>
      </c>
      <c r="BB42" s="7">
        <v>8.7016711171965078</v>
      </c>
      <c r="BC42" s="7">
        <v>99</v>
      </c>
      <c r="BD42" s="7">
        <v>7.4668230563267786</v>
      </c>
      <c r="BE42" s="7">
        <v>99</v>
      </c>
      <c r="BF42" s="7">
        <v>2.6772987134146242</v>
      </c>
    </row>
    <row r="43" spans="6:58" x14ac:dyDescent="0.45">
      <c r="F43" s="1">
        <f>NetNum!J43</f>
        <v>42</v>
      </c>
      <c r="G43" s="1">
        <f>NetNum!K43</f>
        <v>18</v>
      </c>
      <c r="H43" s="1">
        <f>NetNum!L43</f>
        <v>33</v>
      </c>
      <c r="I43" s="1">
        <f>NetNum!Q43</f>
        <v>3500</v>
      </c>
      <c r="J43" s="6">
        <f>NetNum!R43</f>
        <v>2.1818181818181817</v>
      </c>
      <c r="K43" s="7">
        <v>5720.7163275040239</v>
      </c>
      <c r="L43" s="6">
        <f t="shared" si="1"/>
        <v>4.5176377380297623</v>
      </c>
      <c r="N43" s="3">
        <v>42</v>
      </c>
      <c r="O43" s="7">
        <v>99</v>
      </c>
      <c r="P43" s="7">
        <v>99</v>
      </c>
      <c r="Q43" s="7">
        <v>99</v>
      </c>
      <c r="R43" s="7">
        <v>99</v>
      </c>
      <c r="S43" s="7">
        <v>99</v>
      </c>
      <c r="T43" s="7">
        <v>99</v>
      </c>
      <c r="U43" s="7">
        <v>99</v>
      </c>
      <c r="V43" s="7">
        <v>99</v>
      </c>
      <c r="W43" s="7">
        <v>99</v>
      </c>
      <c r="X43" s="7">
        <v>99</v>
      </c>
      <c r="Y43" s="7">
        <v>99</v>
      </c>
      <c r="Z43" s="7">
        <v>99</v>
      </c>
      <c r="AA43" s="7">
        <v>99</v>
      </c>
      <c r="AB43" s="7">
        <v>99</v>
      </c>
      <c r="AC43" s="7">
        <v>99</v>
      </c>
      <c r="AD43" s="7">
        <v>99</v>
      </c>
      <c r="AE43" s="7">
        <v>99</v>
      </c>
      <c r="AF43" s="7">
        <v>99</v>
      </c>
      <c r="AG43" s="7">
        <v>99</v>
      </c>
      <c r="AH43" s="7">
        <v>99</v>
      </c>
      <c r="AI43" s="7">
        <v>99</v>
      </c>
      <c r="AJ43" s="7">
        <v>99</v>
      </c>
      <c r="AK43" s="7">
        <v>99</v>
      </c>
      <c r="AL43" s="7">
        <v>99</v>
      </c>
      <c r="AM43" s="7">
        <v>99</v>
      </c>
      <c r="AN43" s="7">
        <v>99</v>
      </c>
      <c r="AO43" s="7">
        <v>99</v>
      </c>
      <c r="AP43" s="7">
        <v>99</v>
      </c>
      <c r="AQ43" s="7">
        <v>99</v>
      </c>
      <c r="AR43" s="7">
        <v>99</v>
      </c>
      <c r="AS43" s="7">
        <v>99</v>
      </c>
      <c r="AT43" s="7">
        <v>99</v>
      </c>
      <c r="AU43" s="7">
        <v>29.905162063092462</v>
      </c>
      <c r="AV43" s="7">
        <v>99</v>
      </c>
      <c r="AW43" s="7">
        <v>99</v>
      </c>
      <c r="AX43" s="7">
        <v>99</v>
      </c>
      <c r="AY43" s="7">
        <v>99</v>
      </c>
      <c r="AZ43" s="7">
        <v>99</v>
      </c>
      <c r="BA43" s="7">
        <v>99</v>
      </c>
      <c r="BB43" s="7">
        <v>99</v>
      </c>
      <c r="BC43" s="7">
        <v>7.3987550540669984</v>
      </c>
      <c r="BD43" s="7">
        <v>99</v>
      </c>
      <c r="BE43" s="7">
        <v>5.6132742384836645</v>
      </c>
      <c r="BF43" s="7">
        <v>99</v>
      </c>
    </row>
    <row r="44" spans="6:58" x14ac:dyDescent="0.45">
      <c r="F44" s="1">
        <f>NetNum!J44</f>
        <v>43</v>
      </c>
      <c r="G44" s="1">
        <f>NetNum!K44</f>
        <v>19</v>
      </c>
      <c r="H44" s="1">
        <f>NetNum!L44</f>
        <v>6</v>
      </c>
      <c r="I44" s="1">
        <f>NetNum!Q44</f>
        <v>4000</v>
      </c>
      <c r="J44" s="6">
        <f>NetNum!R44</f>
        <v>2.5</v>
      </c>
      <c r="K44" s="7">
        <v>0</v>
      </c>
      <c r="L44" s="6">
        <f t="shared" si="1"/>
        <v>2.5</v>
      </c>
      <c r="N44" s="3">
        <v>43</v>
      </c>
      <c r="O44" s="7">
        <v>99</v>
      </c>
      <c r="P44" s="7">
        <v>99</v>
      </c>
      <c r="Q44" s="7">
        <v>99</v>
      </c>
      <c r="R44" s="7">
        <v>99</v>
      </c>
      <c r="S44" s="7">
        <v>99</v>
      </c>
      <c r="T44" s="7">
        <v>99</v>
      </c>
      <c r="U44" s="7">
        <v>99</v>
      </c>
      <c r="V44" s="7">
        <v>99</v>
      </c>
      <c r="W44" s="7">
        <v>99</v>
      </c>
      <c r="X44" s="7">
        <v>99</v>
      </c>
      <c r="Y44" s="7">
        <v>99</v>
      </c>
      <c r="Z44" s="7">
        <v>99</v>
      </c>
      <c r="AA44" s="7">
        <v>99</v>
      </c>
      <c r="AB44" s="7">
        <v>99</v>
      </c>
      <c r="AC44" s="7">
        <v>99</v>
      </c>
      <c r="AD44" s="7">
        <v>99</v>
      </c>
      <c r="AE44" s="7">
        <v>99</v>
      </c>
      <c r="AF44" s="7">
        <v>99</v>
      </c>
      <c r="AG44" s="7">
        <v>99</v>
      </c>
      <c r="AH44" s="7">
        <v>99</v>
      </c>
      <c r="AI44" s="7">
        <v>99</v>
      </c>
      <c r="AJ44" s="7">
        <v>99</v>
      </c>
      <c r="AK44" s="7">
        <v>99</v>
      </c>
      <c r="AL44" s="7">
        <v>99</v>
      </c>
      <c r="AM44" s="7">
        <v>99</v>
      </c>
      <c r="AN44" s="7">
        <v>99</v>
      </c>
      <c r="AO44" s="7">
        <v>99</v>
      </c>
      <c r="AP44" s="7">
        <v>99</v>
      </c>
      <c r="AQ44" s="7">
        <v>99</v>
      </c>
      <c r="AR44" s="7">
        <v>99</v>
      </c>
      <c r="AS44" s="7">
        <v>99</v>
      </c>
      <c r="AT44" s="7">
        <v>99</v>
      </c>
      <c r="AU44" s="7">
        <v>99</v>
      </c>
      <c r="AV44" s="7">
        <v>99</v>
      </c>
      <c r="AW44" s="7">
        <v>99</v>
      </c>
      <c r="AX44" s="7">
        <v>13.218102147499154</v>
      </c>
      <c r="AY44" s="7">
        <v>99</v>
      </c>
      <c r="AZ44" s="7">
        <v>99</v>
      </c>
      <c r="BA44" s="7">
        <v>99</v>
      </c>
      <c r="BB44" s="7">
        <v>99</v>
      </c>
      <c r="BC44" s="7">
        <v>99</v>
      </c>
      <c r="BD44" s="7">
        <v>6.1734896934511987</v>
      </c>
      <c r="BE44" s="7">
        <v>99</v>
      </c>
      <c r="BF44" s="7">
        <v>10.717092518913136</v>
      </c>
    </row>
    <row r="45" spans="6:58" x14ac:dyDescent="0.45">
      <c r="F45" s="1">
        <f>NetNum!J45</f>
        <v>44</v>
      </c>
      <c r="G45" s="1">
        <f>NetNum!K45</f>
        <v>19</v>
      </c>
      <c r="H45" s="1">
        <f>NetNum!L45</f>
        <v>18</v>
      </c>
      <c r="I45" s="1">
        <f>NetNum!Q45</f>
        <v>4000</v>
      </c>
      <c r="J45" s="6">
        <f>NetNum!R45</f>
        <v>3</v>
      </c>
      <c r="K45" s="7">
        <v>3777.4429351044332</v>
      </c>
      <c r="L45" s="6">
        <f t="shared" si="1"/>
        <v>3.3579020595837834</v>
      </c>
      <c r="N45" s="3">
        <v>44</v>
      </c>
      <c r="O45" s="7">
        <v>99</v>
      </c>
      <c r="P45" s="7">
        <v>99</v>
      </c>
      <c r="Q45" s="7">
        <v>99</v>
      </c>
      <c r="R45" s="7">
        <v>99</v>
      </c>
      <c r="S45" s="7">
        <v>99</v>
      </c>
      <c r="T45" s="7">
        <v>99</v>
      </c>
      <c r="U45" s="7">
        <v>99</v>
      </c>
      <c r="V45" s="7">
        <v>99</v>
      </c>
      <c r="W45" s="7">
        <v>99</v>
      </c>
      <c r="X45" s="7">
        <v>99</v>
      </c>
      <c r="Y45" s="7">
        <v>99</v>
      </c>
      <c r="Z45" s="7">
        <v>99</v>
      </c>
      <c r="AA45" s="7">
        <v>99</v>
      </c>
      <c r="AB45" s="7">
        <v>99</v>
      </c>
      <c r="AC45" s="7">
        <v>99</v>
      </c>
      <c r="AD45" s="7">
        <v>99</v>
      </c>
      <c r="AE45" s="7">
        <v>99</v>
      </c>
      <c r="AF45" s="7">
        <v>99</v>
      </c>
      <c r="AG45" s="7">
        <v>99</v>
      </c>
      <c r="AH45" s="7">
        <v>99</v>
      </c>
      <c r="AI45" s="7">
        <v>99</v>
      </c>
      <c r="AJ45" s="7">
        <v>99</v>
      </c>
      <c r="AK45" s="7">
        <v>99</v>
      </c>
      <c r="AL45" s="7">
        <v>99</v>
      </c>
      <c r="AM45" s="7">
        <v>99</v>
      </c>
      <c r="AN45" s="7">
        <v>99</v>
      </c>
      <c r="AO45" s="7">
        <v>99</v>
      </c>
      <c r="AP45" s="7">
        <v>99</v>
      </c>
      <c r="AQ45" s="7">
        <v>99</v>
      </c>
      <c r="AR45" s="7">
        <v>99</v>
      </c>
      <c r="AS45" s="7">
        <v>99</v>
      </c>
      <c r="AT45" s="7">
        <v>99</v>
      </c>
      <c r="AU45" s="7">
        <v>99</v>
      </c>
      <c r="AV45" s="7">
        <v>99</v>
      </c>
      <c r="AW45" s="7">
        <v>99</v>
      </c>
      <c r="AX45" s="7">
        <v>99</v>
      </c>
      <c r="AY45" s="7">
        <v>4.2041386708388764</v>
      </c>
      <c r="AZ45" s="7">
        <v>99</v>
      </c>
      <c r="BA45" s="7">
        <v>6.5767981009257905</v>
      </c>
      <c r="BB45" s="7">
        <v>99</v>
      </c>
      <c r="BC45" s="7">
        <v>2.6774003207454418</v>
      </c>
      <c r="BD45" s="7">
        <v>99</v>
      </c>
      <c r="BE45" s="7">
        <v>10.904347549627106</v>
      </c>
      <c r="BF45" s="7">
        <v>99</v>
      </c>
    </row>
    <row r="46" spans="6:58" x14ac:dyDescent="0.45">
      <c r="F46" s="1">
        <f>NetNum!J46</f>
        <v>45</v>
      </c>
      <c r="G46" s="1">
        <f>NetNum!K46</f>
        <v>19</v>
      </c>
      <c r="H46" s="1">
        <f>NetNum!L46</f>
        <v>20</v>
      </c>
      <c r="I46" s="1">
        <f>NetNum!Q46</f>
        <v>4000</v>
      </c>
      <c r="J46" s="6">
        <f>NetNum!R46</f>
        <v>3</v>
      </c>
      <c r="K46" s="7">
        <v>4006.1652522404679</v>
      </c>
      <c r="L46" s="6">
        <f t="shared" si="1"/>
        <v>3.4527807843457183</v>
      </c>
    </row>
    <row r="47" spans="6:58" x14ac:dyDescent="0.45">
      <c r="F47" s="1">
        <f>NetNum!J47</f>
        <v>46</v>
      </c>
      <c r="G47" s="1">
        <f>NetNum!K47</f>
        <v>19</v>
      </c>
      <c r="H47" s="1">
        <f>NetNum!L47</f>
        <v>34</v>
      </c>
      <c r="I47" s="1">
        <f>NetNum!Q47</f>
        <v>3500</v>
      </c>
      <c r="J47" s="6">
        <f>NetNum!R47</f>
        <v>3.2727272727272725</v>
      </c>
      <c r="K47" s="7">
        <v>898.25845136498333</v>
      </c>
      <c r="L47" s="6">
        <f t="shared" si="1"/>
        <v>3.2748570497891163</v>
      </c>
    </row>
    <row r="48" spans="6:58" x14ac:dyDescent="0.45">
      <c r="F48" s="1">
        <f>NetNum!J48</f>
        <v>47</v>
      </c>
      <c r="G48" s="1">
        <f>NetNum!K48</f>
        <v>20</v>
      </c>
      <c r="H48" s="1">
        <f>NetNum!L48</f>
        <v>19</v>
      </c>
      <c r="I48" s="1">
        <f>NetNum!Q48</f>
        <v>4000</v>
      </c>
      <c r="J48" s="6">
        <f>NetNum!R48</f>
        <v>3</v>
      </c>
      <c r="K48" s="7">
        <v>4050.2508800093779</v>
      </c>
      <c r="L48" s="6">
        <f t="shared" si="1"/>
        <v>3.4730425952451056</v>
      </c>
    </row>
    <row r="49" spans="6:12" x14ac:dyDescent="0.45">
      <c r="F49" s="1">
        <f>NetNum!J49</f>
        <v>48</v>
      </c>
      <c r="G49" s="1">
        <f>NetNum!K49</f>
        <v>20</v>
      </c>
      <c r="H49" s="1">
        <f>NetNum!L49</f>
        <v>21</v>
      </c>
      <c r="I49" s="1">
        <f>NetNum!Q49</f>
        <v>4000</v>
      </c>
      <c r="J49" s="6">
        <f>NetNum!R49</f>
        <v>5.5</v>
      </c>
      <c r="K49" s="7">
        <v>4006.1652522404679</v>
      </c>
      <c r="L49" s="6">
        <f t="shared" si="1"/>
        <v>6.3300981046338167</v>
      </c>
    </row>
    <row r="50" spans="6:12" x14ac:dyDescent="0.45">
      <c r="F50" s="1">
        <f>NetNum!J50</f>
        <v>49</v>
      </c>
      <c r="G50" s="1">
        <f>NetNum!K50</f>
        <v>20</v>
      </c>
      <c r="H50" s="1">
        <f>NetNum!L50</f>
        <v>35</v>
      </c>
      <c r="I50" s="1">
        <f>NetNum!Q50</f>
        <v>3000</v>
      </c>
      <c r="J50" s="6">
        <f>NetNum!R50</f>
        <v>5.3333333333333339</v>
      </c>
      <c r="K50" s="7">
        <v>0</v>
      </c>
      <c r="L50" s="6">
        <f t="shared" si="1"/>
        <v>5.3333333333333339</v>
      </c>
    </row>
    <row r="51" spans="6:12" x14ac:dyDescent="0.45">
      <c r="F51" s="1">
        <f>NetNum!J51</f>
        <v>50</v>
      </c>
      <c r="G51" s="1">
        <f>NetNum!K51</f>
        <v>21</v>
      </c>
      <c r="H51" s="1">
        <f>NetNum!L51</f>
        <v>7</v>
      </c>
      <c r="I51" s="1">
        <f>NetNum!Q51</f>
        <v>3500</v>
      </c>
      <c r="J51" s="6">
        <f>NetNum!R51</f>
        <v>2.7272727272727275</v>
      </c>
      <c r="K51" s="7">
        <v>0</v>
      </c>
      <c r="L51" s="6">
        <f t="shared" si="1"/>
        <v>2.7272727272727275</v>
      </c>
    </row>
    <row r="52" spans="6:12" x14ac:dyDescent="0.45">
      <c r="F52" s="1">
        <f>NetNum!J52</f>
        <v>51</v>
      </c>
      <c r="G52" s="1">
        <f>NetNum!K52</f>
        <v>21</v>
      </c>
      <c r="H52" s="1">
        <f>NetNum!L52</f>
        <v>20</v>
      </c>
      <c r="I52" s="1">
        <f>NetNum!Q52</f>
        <v>4000</v>
      </c>
      <c r="J52" s="6">
        <f>NetNum!R52</f>
        <v>5.5</v>
      </c>
      <c r="K52" s="7">
        <v>4050.2508800093779</v>
      </c>
      <c r="L52" s="6">
        <f t="shared" si="1"/>
        <v>6.3672447579493605</v>
      </c>
    </row>
    <row r="53" spans="6:12" x14ac:dyDescent="0.45">
      <c r="F53" s="1">
        <f>NetNum!J53</f>
        <v>52</v>
      </c>
      <c r="G53" s="1">
        <f>NetNum!K53</f>
        <v>21</v>
      </c>
      <c r="H53" s="1">
        <f>NetNum!L53</f>
        <v>22</v>
      </c>
      <c r="I53" s="1">
        <f>NetNum!Q53</f>
        <v>4000</v>
      </c>
      <c r="J53" s="6">
        <f>NetNum!R53</f>
        <v>1.5</v>
      </c>
      <c r="K53" s="7">
        <v>3279.7871708733501</v>
      </c>
      <c r="L53" s="6">
        <f t="shared" si="1"/>
        <v>1.601700995456486</v>
      </c>
    </row>
    <row r="54" spans="6:12" x14ac:dyDescent="0.45">
      <c r="F54" s="1">
        <f>NetNum!J54</f>
        <v>53</v>
      </c>
      <c r="G54" s="1">
        <f>NetNum!K54</f>
        <v>21</v>
      </c>
      <c r="H54" s="1">
        <f>NetNum!L54</f>
        <v>36</v>
      </c>
      <c r="I54" s="1">
        <f>NetNum!Q54</f>
        <v>3500</v>
      </c>
      <c r="J54" s="6">
        <f>NetNum!R54</f>
        <v>4.9090909090909092</v>
      </c>
      <c r="K54" s="7">
        <v>4915.534995267426</v>
      </c>
      <c r="L54" s="6">
        <f t="shared" si="1"/>
        <v>7.7739503940658059</v>
      </c>
    </row>
    <row r="55" spans="6:12" x14ac:dyDescent="0.45">
      <c r="F55" s="1">
        <f>NetNum!J55</f>
        <v>54</v>
      </c>
      <c r="G55" s="1">
        <f>NetNum!K55</f>
        <v>22</v>
      </c>
      <c r="H55" s="1">
        <f>NetNum!L55</f>
        <v>21</v>
      </c>
      <c r="I55" s="1">
        <f>NetNum!Q55</f>
        <v>4000</v>
      </c>
      <c r="J55" s="6">
        <f>NetNum!R55</f>
        <v>1.5</v>
      </c>
      <c r="K55" s="7">
        <v>3260.9900445809189</v>
      </c>
      <c r="L55" s="6">
        <f t="shared" si="1"/>
        <v>1.599389486002242</v>
      </c>
    </row>
    <row r="56" spans="6:12" x14ac:dyDescent="0.45">
      <c r="F56" s="1">
        <f>NetNum!J56</f>
        <v>55</v>
      </c>
      <c r="G56" s="1">
        <f>NetNum!K56</f>
        <v>22</v>
      </c>
      <c r="H56" s="1">
        <f>NetNum!L56</f>
        <v>23</v>
      </c>
      <c r="I56" s="1">
        <f>NetNum!Q56</f>
        <v>4000</v>
      </c>
      <c r="J56" s="6">
        <f>NetNum!R56</f>
        <v>4.5</v>
      </c>
      <c r="K56" s="7">
        <v>3279.7871708733501</v>
      </c>
      <c r="L56" s="6">
        <f t="shared" si="1"/>
        <v>4.8051029863694579</v>
      </c>
    </row>
    <row r="57" spans="6:12" x14ac:dyDescent="0.45">
      <c r="F57" s="1">
        <f>NetNum!J57</f>
        <v>56</v>
      </c>
      <c r="G57" s="1">
        <f>NetNum!K57</f>
        <v>22</v>
      </c>
      <c r="H57" s="1">
        <f>NetNum!L57</f>
        <v>37</v>
      </c>
      <c r="I57" s="1">
        <f>NetNum!Q57</f>
        <v>3000</v>
      </c>
      <c r="J57" s="6">
        <f>NetNum!R57</f>
        <v>6.6666666666666661</v>
      </c>
      <c r="K57" s="7">
        <v>0</v>
      </c>
      <c r="L57" s="6">
        <f t="shared" si="1"/>
        <v>6.6666666666666661</v>
      </c>
    </row>
    <row r="58" spans="6:12" x14ac:dyDescent="0.45">
      <c r="F58" s="1">
        <f>NetNum!J58</f>
        <v>57</v>
      </c>
      <c r="G58" s="1">
        <f>NetNum!K58</f>
        <v>23</v>
      </c>
      <c r="H58" s="1">
        <f>NetNum!L58</f>
        <v>22</v>
      </c>
      <c r="I58" s="1">
        <f>NetNum!Q58</f>
        <v>4000</v>
      </c>
      <c r="J58" s="6">
        <f>NetNum!R58</f>
        <v>4.5</v>
      </c>
      <c r="K58" s="7">
        <v>3260.9900445809189</v>
      </c>
      <c r="L58" s="6">
        <f t="shared" si="1"/>
        <v>4.7981684580067263</v>
      </c>
    </row>
    <row r="59" spans="6:12" x14ac:dyDescent="0.45">
      <c r="F59" s="1">
        <f>NetNum!J59</f>
        <v>58</v>
      </c>
      <c r="G59" s="1">
        <f>NetNum!K59</f>
        <v>23</v>
      </c>
      <c r="H59" s="1">
        <f>NetNum!L59</f>
        <v>24</v>
      </c>
      <c r="I59" s="1">
        <f>NetNum!Q59</f>
        <v>4000</v>
      </c>
      <c r="J59" s="6">
        <f>NetNum!R59</f>
        <v>0.5</v>
      </c>
      <c r="K59" s="7">
        <v>5284.5521894537933</v>
      </c>
      <c r="L59" s="6">
        <f t="shared" si="1"/>
        <v>0.72848308984195687</v>
      </c>
    </row>
    <row r="60" spans="6:12" x14ac:dyDescent="0.45">
      <c r="F60" s="1">
        <f>NetNum!J60</f>
        <v>59</v>
      </c>
      <c r="G60" s="1">
        <f>NetNum!K60</f>
        <v>23</v>
      </c>
      <c r="H60" s="1">
        <f>NetNum!L60</f>
        <v>38</v>
      </c>
      <c r="I60" s="1">
        <f>NetNum!Q60</f>
        <v>3000</v>
      </c>
      <c r="J60" s="6">
        <f>NetNum!R60</f>
        <v>5.3333333333333339</v>
      </c>
      <c r="K60" s="7">
        <v>2474.9479513927804</v>
      </c>
      <c r="L60" s="6">
        <f t="shared" si="1"/>
        <v>5.7039024723034135</v>
      </c>
    </row>
    <row r="61" spans="6:12" x14ac:dyDescent="0.45">
      <c r="F61" s="1">
        <f>NetNum!J61</f>
        <v>60</v>
      </c>
      <c r="G61" s="1">
        <f>NetNum!K61</f>
        <v>24</v>
      </c>
      <c r="H61" s="1">
        <f>NetNum!L61</f>
        <v>8</v>
      </c>
      <c r="I61" s="1">
        <f>NetNum!Q61</f>
        <v>3500</v>
      </c>
      <c r="J61" s="6">
        <f>NetNum!R61</f>
        <v>2.7272727272727275</v>
      </c>
      <c r="K61" s="7">
        <v>0</v>
      </c>
      <c r="L61" s="6">
        <f t="shared" si="1"/>
        <v>2.7272727272727275</v>
      </c>
    </row>
    <row r="62" spans="6:12" x14ac:dyDescent="0.45">
      <c r="F62" s="1">
        <f>NetNum!J62</f>
        <v>61</v>
      </c>
      <c r="G62" s="1">
        <f>NetNum!K62</f>
        <v>24</v>
      </c>
      <c r="H62" s="1">
        <f>NetNum!L62</f>
        <v>9</v>
      </c>
      <c r="I62" s="1">
        <f>NetNum!Q62</f>
        <v>4000</v>
      </c>
      <c r="J62" s="6">
        <f>NetNum!R62</f>
        <v>3</v>
      </c>
      <c r="K62" s="7">
        <v>7124.8969451188332</v>
      </c>
      <c r="L62" s="6">
        <f t="shared" si="1"/>
        <v>7.529882079457205</v>
      </c>
    </row>
    <row r="63" spans="6:12" x14ac:dyDescent="0.45">
      <c r="F63" s="1">
        <f>NetNum!J63</f>
        <v>62</v>
      </c>
      <c r="G63" s="1">
        <f>NetNum!K63</f>
        <v>24</v>
      </c>
      <c r="H63" s="1">
        <f>NetNum!L63</f>
        <v>23</v>
      </c>
      <c r="I63" s="1">
        <f>NetNum!Q63</f>
        <v>4000</v>
      </c>
      <c r="J63" s="6">
        <f>NetNum!R63</f>
        <v>0.5</v>
      </c>
      <c r="K63" s="7">
        <v>5490.488179261396</v>
      </c>
      <c r="L63" s="6">
        <f t="shared" si="1"/>
        <v>0.76623499576310783</v>
      </c>
    </row>
    <row r="64" spans="6:12" x14ac:dyDescent="0.45">
      <c r="F64" s="1">
        <f>NetNum!J64</f>
        <v>63</v>
      </c>
      <c r="G64" s="1">
        <f>NetNum!K64</f>
        <v>24</v>
      </c>
      <c r="H64" s="1">
        <f>NetNum!L64</f>
        <v>25</v>
      </c>
      <c r="I64" s="1">
        <f>NetNum!Q64</f>
        <v>3000</v>
      </c>
      <c r="J64" s="6">
        <f>NetNum!R64</f>
        <v>2.666666666666667</v>
      </c>
      <c r="K64" s="7">
        <v>3445.9161062586904</v>
      </c>
      <c r="L64" s="6">
        <f t="shared" si="1"/>
        <v>3.3629624615239697</v>
      </c>
    </row>
    <row r="65" spans="6:12" x14ac:dyDescent="0.45">
      <c r="F65" s="1">
        <f>NetNum!J65</f>
        <v>64</v>
      </c>
      <c r="G65" s="1">
        <f>NetNum!K65</f>
        <v>25</v>
      </c>
      <c r="H65" s="1">
        <f>NetNum!L65</f>
        <v>10</v>
      </c>
      <c r="I65" s="1">
        <f>NetNum!Q65</f>
        <v>2000</v>
      </c>
      <c r="J65" s="6">
        <f>NetNum!R65</f>
        <v>6</v>
      </c>
      <c r="K65" s="7">
        <v>403.27384358901338</v>
      </c>
      <c r="L65" s="6">
        <f t="shared" si="1"/>
        <v>6.0014877252869727</v>
      </c>
    </row>
    <row r="66" spans="6:12" x14ac:dyDescent="0.45">
      <c r="F66" s="1">
        <f>NetNum!J66</f>
        <v>65</v>
      </c>
      <c r="G66" s="1">
        <f>NetNum!K66</f>
        <v>25</v>
      </c>
      <c r="H66" s="1">
        <f>NetNum!L66</f>
        <v>24</v>
      </c>
      <c r="I66" s="1">
        <f>NetNum!Q66</f>
        <v>3000</v>
      </c>
      <c r="J66" s="6">
        <f>NetNum!R66</f>
        <v>2.666666666666667</v>
      </c>
      <c r="K66" s="7">
        <v>3414.0724576369303</v>
      </c>
      <c r="L66" s="6">
        <f t="shared" si="1"/>
        <v>3.3375792053460422</v>
      </c>
    </row>
    <row r="67" spans="6:12" x14ac:dyDescent="0.45">
      <c r="F67" s="1">
        <f>NetNum!J67</f>
        <v>66</v>
      </c>
      <c r="G67" s="1">
        <f>NetNum!K67</f>
        <v>25</v>
      </c>
      <c r="H67" s="1">
        <f>NetNum!L67</f>
        <v>26</v>
      </c>
      <c r="I67" s="1">
        <f>NetNum!Q67</f>
        <v>3000</v>
      </c>
      <c r="J67" s="6">
        <f>NetNum!R67</f>
        <v>2</v>
      </c>
      <c r="K67" s="7">
        <v>3648.3661424581574</v>
      </c>
      <c r="L67" s="6">
        <f t="shared" ref="L67:L130" si="2">J67*(1+$D$10*((K67/I67)^$D$11))</f>
        <v>2.6561904458976713</v>
      </c>
    </row>
    <row r="68" spans="6:12" x14ac:dyDescent="0.45">
      <c r="F68" s="1">
        <f>NetNum!J68</f>
        <v>67</v>
      </c>
      <c r="G68" s="1">
        <f>NetNum!K68</f>
        <v>26</v>
      </c>
      <c r="H68" s="1">
        <f>NetNum!L68</f>
        <v>11</v>
      </c>
      <c r="I68" s="1">
        <f>NetNum!Q68</f>
        <v>2000</v>
      </c>
      <c r="J68" s="6">
        <f>NetNum!R68</f>
        <v>7.7142857142857135</v>
      </c>
      <c r="K68" s="7">
        <v>1278.1149113182671</v>
      </c>
      <c r="L68" s="6">
        <f t="shared" si="2"/>
        <v>7.9072809564990116</v>
      </c>
    </row>
    <row r="69" spans="6:12" x14ac:dyDescent="0.45">
      <c r="F69" s="1">
        <f>NetNum!J69</f>
        <v>68</v>
      </c>
      <c r="G69" s="1">
        <f>NetNum!K69</f>
        <v>26</v>
      </c>
      <c r="H69" s="1">
        <f>NetNum!L69</f>
        <v>25</v>
      </c>
      <c r="I69" s="1">
        <f>NetNum!Q69</f>
        <v>3000</v>
      </c>
      <c r="J69" s="6">
        <f>NetNum!R69</f>
        <v>2</v>
      </c>
      <c r="K69" s="7">
        <v>3817.3463012259435</v>
      </c>
      <c r="L69" s="6">
        <f t="shared" si="2"/>
        <v>2.7864705698498939</v>
      </c>
    </row>
    <row r="70" spans="6:12" x14ac:dyDescent="0.45">
      <c r="F70" s="1">
        <f>NetNum!J70</f>
        <v>69</v>
      </c>
      <c r="G70" s="1">
        <f>NetNum!K70</f>
        <v>26</v>
      </c>
      <c r="H70" s="1">
        <f>NetNum!L70</f>
        <v>27</v>
      </c>
      <c r="I70" s="1">
        <f>NetNum!Q70</f>
        <v>3000</v>
      </c>
      <c r="J70" s="6">
        <f>NetNum!R70</f>
        <v>3.333333333333333</v>
      </c>
      <c r="K70" s="7">
        <v>3670.0933111043319</v>
      </c>
      <c r="L70" s="6">
        <f t="shared" si="2"/>
        <v>4.4532698623907994</v>
      </c>
    </row>
    <row r="71" spans="6:12" x14ac:dyDescent="0.45">
      <c r="F71" s="1">
        <f>NetNum!J71</f>
        <v>70</v>
      </c>
      <c r="G71" s="1">
        <f>NetNum!K71</f>
        <v>26</v>
      </c>
      <c r="H71" s="1">
        <f>NetNum!L71</f>
        <v>38</v>
      </c>
      <c r="I71" s="1">
        <f>NetNum!Q71</f>
        <v>2000</v>
      </c>
      <c r="J71" s="6">
        <f>NetNum!R71</f>
        <v>1.7142857142857142</v>
      </c>
      <c r="K71" s="7">
        <v>1714.3349619245655</v>
      </c>
      <c r="L71" s="6">
        <f t="shared" si="2"/>
        <v>1.8531009743737354</v>
      </c>
    </row>
    <row r="72" spans="6:12" x14ac:dyDescent="0.45">
      <c r="F72" s="1">
        <f>NetNum!J72</f>
        <v>71</v>
      </c>
      <c r="G72" s="1">
        <f>NetNum!K72</f>
        <v>27</v>
      </c>
      <c r="H72" s="1">
        <f>NetNum!L72</f>
        <v>12</v>
      </c>
      <c r="I72" s="1">
        <f>NetNum!Q72</f>
        <v>3000</v>
      </c>
      <c r="J72" s="6">
        <f>NetNum!R72</f>
        <v>5.3333333333333339</v>
      </c>
      <c r="K72" s="7">
        <v>5435.7796643907859</v>
      </c>
      <c r="L72" s="6">
        <f t="shared" si="2"/>
        <v>13.956213416018425</v>
      </c>
    </row>
    <row r="73" spans="6:12" x14ac:dyDescent="0.45">
      <c r="F73" s="1">
        <f>NetNum!J73</f>
        <v>72</v>
      </c>
      <c r="G73" s="1">
        <f>NetNum!K73</f>
        <v>27</v>
      </c>
      <c r="H73" s="1">
        <f>NetNum!L73</f>
        <v>26</v>
      </c>
      <c r="I73" s="1">
        <f>NetNum!Q73</f>
        <v>3000</v>
      </c>
      <c r="J73" s="6">
        <f>NetNum!R73</f>
        <v>3.333333333333333</v>
      </c>
      <c r="K73" s="7">
        <v>3640.56957904517</v>
      </c>
      <c r="L73" s="6">
        <f t="shared" si="2"/>
        <v>4.4176654680585843</v>
      </c>
    </row>
    <row r="74" spans="6:12" x14ac:dyDescent="0.45">
      <c r="F74" s="1">
        <f>NetNum!J74</f>
        <v>73</v>
      </c>
      <c r="G74" s="1">
        <f>NetNum!K74</f>
        <v>27</v>
      </c>
      <c r="H74" s="1">
        <f>NetNum!L74</f>
        <v>28</v>
      </c>
      <c r="I74" s="1">
        <f>NetNum!Q74</f>
        <v>3000</v>
      </c>
      <c r="J74" s="6">
        <f>NetNum!R74</f>
        <v>3.333333333333333</v>
      </c>
      <c r="K74" s="7">
        <v>3451.9625337968146</v>
      </c>
      <c r="L74" s="6">
        <f t="shared" si="2"/>
        <v>4.20982800258954</v>
      </c>
    </row>
    <row r="75" spans="6:12" x14ac:dyDescent="0.45">
      <c r="F75" s="1">
        <f>NetNum!J75</f>
        <v>74</v>
      </c>
      <c r="G75" s="1">
        <f>NetNum!K75</f>
        <v>27</v>
      </c>
      <c r="H75" s="1">
        <f>NetNum!L75</f>
        <v>39</v>
      </c>
      <c r="I75" s="1">
        <f>NetNum!Q75</f>
        <v>3000</v>
      </c>
      <c r="J75" s="6">
        <f>NetNum!R75</f>
        <v>0.66666666666666674</v>
      </c>
      <c r="K75" s="7">
        <v>7772.7688020685155</v>
      </c>
      <c r="L75" s="6">
        <f t="shared" si="2"/>
        <v>5.1729446714184464</v>
      </c>
    </row>
    <row r="76" spans="6:12" x14ac:dyDescent="0.45">
      <c r="F76" s="1">
        <f>NetNum!J76</f>
        <v>75</v>
      </c>
      <c r="G76" s="1">
        <f>NetNum!K76</f>
        <v>28</v>
      </c>
      <c r="H76" s="1">
        <f>NetNum!L76</f>
        <v>27</v>
      </c>
      <c r="I76" s="1">
        <f>NetNum!Q76</f>
        <v>3000</v>
      </c>
      <c r="J76" s="6">
        <f>NetNum!R76</f>
        <v>3.333333333333333</v>
      </c>
      <c r="K76" s="7">
        <v>3438.9439547718994</v>
      </c>
      <c r="L76" s="6">
        <f t="shared" si="2"/>
        <v>4.1966803205413283</v>
      </c>
    </row>
    <row r="77" spans="6:12" x14ac:dyDescent="0.45">
      <c r="F77" s="1">
        <f>NetNum!J77</f>
        <v>76</v>
      </c>
      <c r="G77" s="1">
        <f>NetNum!K77</f>
        <v>28</v>
      </c>
      <c r="H77" s="1">
        <f>NetNum!L77</f>
        <v>29</v>
      </c>
      <c r="I77" s="1">
        <f>NetNum!Q77</f>
        <v>3500</v>
      </c>
      <c r="J77" s="6">
        <f>NetNum!R77</f>
        <v>1.0909090909090908</v>
      </c>
      <c r="K77" s="7">
        <v>12075.826824797699</v>
      </c>
      <c r="L77" s="6">
        <f t="shared" si="2"/>
        <v>24.279542128139582</v>
      </c>
    </row>
    <row r="78" spans="6:12" x14ac:dyDescent="0.45">
      <c r="F78" s="1">
        <f>NetNum!J78</f>
        <v>77</v>
      </c>
      <c r="G78" s="1">
        <f>NetNum!K78</f>
        <v>28</v>
      </c>
      <c r="H78" s="1">
        <f>NetNum!L78</f>
        <v>40</v>
      </c>
      <c r="I78" s="1">
        <f>NetNum!Q78</f>
        <v>3500</v>
      </c>
      <c r="J78" s="6">
        <f>NetNum!R78</f>
        <v>0.54545454545454541</v>
      </c>
      <c r="K78" s="7">
        <v>9967.8097332115649</v>
      </c>
      <c r="L78" s="6">
        <f t="shared" si="2"/>
        <v>5.9278624178602222</v>
      </c>
    </row>
    <row r="79" spans="6:12" x14ac:dyDescent="0.45">
      <c r="F79" s="1">
        <f>NetNum!J79</f>
        <v>78</v>
      </c>
      <c r="G79" s="1">
        <f>NetNum!K79</f>
        <v>29</v>
      </c>
      <c r="H79" s="1">
        <f>NetNum!L79</f>
        <v>13</v>
      </c>
      <c r="I79" s="1">
        <f>NetNum!Q79</f>
        <v>2000</v>
      </c>
      <c r="J79" s="6">
        <f>NetNum!R79</f>
        <v>6.8571428571428568</v>
      </c>
      <c r="K79" s="7">
        <v>3848.7911323577187</v>
      </c>
      <c r="L79" s="6">
        <f t="shared" si="2"/>
        <v>20.963401641638676</v>
      </c>
    </row>
    <row r="80" spans="6:12" x14ac:dyDescent="0.45">
      <c r="F80" s="1">
        <f>NetNum!J80</f>
        <v>79</v>
      </c>
      <c r="G80" s="1">
        <f>NetNum!K80</f>
        <v>29</v>
      </c>
      <c r="H80" s="1">
        <f>NetNum!L80</f>
        <v>28</v>
      </c>
      <c r="I80" s="1">
        <f>NetNum!Q80</f>
        <v>3500</v>
      </c>
      <c r="J80" s="6">
        <f>NetNum!R80</f>
        <v>1.0909090909090908</v>
      </c>
      <c r="K80" s="7">
        <v>12088.649090647015</v>
      </c>
      <c r="L80" s="6">
        <f t="shared" si="2"/>
        <v>24.37818703968421</v>
      </c>
    </row>
    <row r="81" spans="6:12" x14ac:dyDescent="0.45">
      <c r="F81" s="1">
        <f>NetNum!J81</f>
        <v>80</v>
      </c>
      <c r="G81" s="1">
        <f>NetNum!K81</f>
        <v>29</v>
      </c>
      <c r="H81" s="1">
        <f>NetNum!L81</f>
        <v>30</v>
      </c>
      <c r="I81" s="1">
        <f>NetNum!Q81</f>
        <v>3500</v>
      </c>
      <c r="J81" s="6">
        <f>NetNum!R81</f>
        <v>2.7272727272727275</v>
      </c>
      <c r="K81" s="7">
        <v>9863.7914672137158</v>
      </c>
      <c r="L81" s="6">
        <f t="shared" si="2"/>
        <v>28.533420501816728</v>
      </c>
    </row>
    <row r="82" spans="6:12" x14ac:dyDescent="0.45">
      <c r="F82" s="1">
        <f>NetNum!J82</f>
        <v>81</v>
      </c>
      <c r="G82" s="1">
        <f>NetNum!K82</f>
        <v>30</v>
      </c>
      <c r="H82" s="1">
        <f>NetNum!L82</f>
        <v>14</v>
      </c>
      <c r="I82" s="1">
        <f>NetNum!Q82</f>
        <v>2000</v>
      </c>
      <c r="J82" s="6">
        <f>NetNum!R82</f>
        <v>6.8571428571428568</v>
      </c>
      <c r="K82" s="7">
        <v>3667.7964882827469</v>
      </c>
      <c r="L82" s="6">
        <f t="shared" si="2"/>
        <v>18.49131258190171</v>
      </c>
    </row>
    <row r="83" spans="6:12" x14ac:dyDescent="0.45">
      <c r="F83" s="1">
        <f>NetNum!J83</f>
        <v>82</v>
      </c>
      <c r="G83" s="1">
        <f>NetNum!K83</f>
        <v>30</v>
      </c>
      <c r="H83" s="1">
        <f>NetNum!L83</f>
        <v>15</v>
      </c>
      <c r="I83" s="1">
        <f>NetNum!Q83</f>
        <v>2000</v>
      </c>
      <c r="J83" s="6">
        <f>NetNum!R83</f>
        <v>7.7142857142857135</v>
      </c>
      <c r="K83" s="7">
        <v>1681.3507314140711</v>
      </c>
      <c r="L83" s="6">
        <f t="shared" si="2"/>
        <v>8.2922490178658297</v>
      </c>
    </row>
    <row r="84" spans="6:12" x14ac:dyDescent="0.45">
      <c r="F84" s="1">
        <f>NetNum!J84</f>
        <v>83</v>
      </c>
      <c r="G84" s="1">
        <f>NetNum!K84</f>
        <v>30</v>
      </c>
      <c r="H84" s="1">
        <f>NetNum!L84</f>
        <v>29</v>
      </c>
      <c r="I84" s="1">
        <f>NetNum!Q84</f>
        <v>3500</v>
      </c>
      <c r="J84" s="6">
        <f>NetNum!R84</f>
        <v>2.7272727272727275</v>
      </c>
      <c r="K84" s="7">
        <v>9854.087126647255</v>
      </c>
      <c r="L84" s="6">
        <f t="shared" si="2"/>
        <v>28.43201433772284</v>
      </c>
    </row>
    <row r="85" spans="6:12" x14ac:dyDescent="0.45">
      <c r="F85" s="1">
        <f>NetNum!J85</f>
        <v>84</v>
      </c>
      <c r="G85" s="1">
        <f>NetNum!K85</f>
        <v>30</v>
      </c>
      <c r="H85" s="1">
        <f>NetNum!L85</f>
        <v>31</v>
      </c>
      <c r="I85" s="1">
        <f>NetNum!Q85</f>
        <v>3500</v>
      </c>
      <c r="J85" s="6">
        <f>NetNum!R85</f>
        <v>2.7272727272727275</v>
      </c>
      <c r="K85" s="7">
        <v>7563.6262973689663</v>
      </c>
      <c r="L85" s="6">
        <f t="shared" si="2"/>
        <v>11.649389516081975</v>
      </c>
    </row>
    <row r="86" spans="6:12" x14ac:dyDescent="0.45">
      <c r="F86" s="1">
        <f>NetNum!J86</f>
        <v>85</v>
      </c>
      <c r="G86" s="1">
        <f>NetNum!K86</f>
        <v>31</v>
      </c>
      <c r="H86" s="1">
        <f>NetNum!L86</f>
        <v>16</v>
      </c>
      <c r="I86" s="1">
        <f>NetNum!Q86</f>
        <v>3500</v>
      </c>
      <c r="J86" s="6">
        <f>NetNum!R86</f>
        <v>3.8181818181818179</v>
      </c>
      <c r="K86" s="7">
        <v>1058.9048653699242</v>
      </c>
      <c r="L86" s="6">
        <f t="shared" si="2"/>
        <v>3.8229802956733461</v>
      </c>
    </row>
    <row r="87" spans="6:12" x14ac:dyDescent="0.45">
      <c r="F87" s="1">
        <f>NetNum!J87</f>
        <v>86</v>
      </c>
      <c r="G87" s="1">
        <f>NetNum!K87</f>
        <v>31</v>
      </c>
      <c r="H87" s="1">
        <f>NetNum!L87</f>
        <v>30</v>
      </c>
      <c r="I87" s="1">
        <f>NetNum!Q87</f>
        <v>3500</v>
      </c>
      <c r="J87" s="6">
        <f>NetNum!R87</f>
        <v>2.7272727272727275</v>
      </c>
      <c r="K87" s="7">
        <v>7580.8182853698936</v>
      </c>
      <c r="L87" s="6">
        <f t="shared" si="2"/>
        <v>11.730785760209594</v>
      </c>
    </row>
    <row r="88" spans="6:12" x14ac:dyDescent="0.45">
      <c r="F88" s="1">
        <f>NetNum!J88</f>
        <v>87</v>
      </c>
      <c r="G88" s="1">
        <f>NetNum!K88</f>
        <v>31</v>
      </c>
      <c r="H88" s="1">
        <f>NetNum!L88</f>
        <v>32</v>
      </c>
      <c r="I88" s="1">
        <f>NetNum!Q88</f>
        <v>3500</v>
      </c>
      <c r="J88" s="6">
        <f>NetNum!R88</f>
        <v>1.6363636363636362</v>
      </c>
      <c r="K88" s="7">
        <v>7935.7102612511035</v>
      </c>
      <c r="L88" s="6">
        <f t="shared" si="2"/>
        <v>8.1233369851498285</v>
      </c>
    </row>
    <row r="89" spans="6:12" x14ac:dyDescent="0.45">
      <c r="F89" s="1">
        <f>NetNum!J89</f>
        <v>88</v>
      </c>
      <c r="G89" s="1">
        <f>NetNum!K89</f>
        <v>32</v>
      </c>
      <c r="H89" s="1">
        <f>NetNum!L89</f>
        <v>17</v>
      </c>
      <c r="I89" s="1">
        <f>NetNum!Q89</f>
        <v>3000</v>
      </c>
      <c r="J89" s="6">
        <f>NetNum!R89</f>
        <v>1.3333333333333335</v>
      </c>
      <c r="K89" s="7">
        <v>3611.7538183350352</v>
      </c>
      <c r="L89" s="6">
        <f t="shared" si="2"/>
        <v>1.7534960758360647</v>
      </c>
    </row>
    <row r="90" spans="6:12" x14ac:dyDescent="0.45">
      <c r="F90" s="1">
        <f>NetNum!J90</f>
        <v>89</v>
      </c>
      <c r="G90" s="1">
        <f>NetNum!K90</f>
        <v>32</v>
      </c>
      <c r="H90" s="1">
        <f>NetNum!L90</f>
        <v>31</v>
      </c>
      <c r="I90" s="1">
        <f>NetNum!Q90</f>
        <v>3500</v>
      </c>
      <c r="J90" s="6">
        <f>NetNum!R90</f>
        <v>1.6363636363636362</v>
      </c>
      <c r="K90" s="7">
        <v>7768.9032560256592</v>
      </c>
      <c r="L90" s="6">
        <f t="shared" si="2"/>
        <v>7.5948747667706122</v>
      </c>
    </row>
    <row r="91" spans="6:12" x14ac:dyDescent="0.45">
      <c r="F91" s="1">
        <f>NetNum!J91</f>
        <v>90</v>
      </c>
      <c r="G91" s="1">
        <f>NetNum!K91</f>
        <v>32</v>
      </c>
      <c r="H91" s="1">
        <f>NetNum!L91</f>
        <v>33</v>
      </c>
      <c r="I91" s="1">
        <f>NetNum!Q91</f>
        <v>3500</v>
      </c>
      <c r="J91" s="6">
        <f>NetNum!R91</f>
        <v>7.0909090909090908</v>
      </c>
      <c r="K91" s="7">
        <v>6104.9599273373433</v>
      </c>
      <c r="L91" s="6">
        <f t="shared" si="2"/>
        <v>16.936737655991415</v>
      </c>
    </row>
    <row r="92" spans="6:12" x14ac:dyDescent="0.45">
      <c r="F92" s="1">
        <f>NetNum!J92</f>
        <v>91</v>
      </c>
      <c r="G92" s="1">
        <f>NetNum!K92</f>
        <v>33</v>
      </c>
      <c r="H92" s="1">
        <f>NetNum!L92</f>
        <v>18</v>
      </c>
      <c r="I92" s="1">
        <f>NetNum!Q92</f>
        <v>3500</v>
      </c>
      <c r="J92" s="6">
        <f>NetNum!R92</f>
        <v>2.1818181818181817</v>
      </c>
      <c r="K92" s="7">
        <v>5819.0278737200915</v>
      </c>
      <c r="L92" s="6">
        <f t="shared" si="2"/>
        <v>4.6823903221481737</v>
      </c>
    </row>
    <row r="93" spans="6:12" x14ac:dyDescent="0.45">
      <c r="F93" s="1">
        <f>NetNum!J93</f>
        <v>92</v>
      </c>
      <c r="G93" s="1">
        <f>NetNum!K93</f>
        <v>33</v>
      </c>
      <c r="H93" s="1">
        <f>NetNum!L93</f>
        <v>32</v>
      </c>
      <c r="I93" s="1">
        <f>NetNum!Q93</f>
        <v>3500</v>
      </c>
      <c r="J93" s="6">
        <f>NetNum!R93</f>
        <v>7.0909090909090908</v>
      </c>
      <c r="K93" s="7">
        <v>5903.034242158742</v>
      </c>
      <c r="L93" s="6">
        <f t="shared" si="2"/>
        <v>15.697322608807699</v>
      </c>
    </row>
    <row r="94" spans="6:12" x14ac:dyDescent="0.45">
      <c r="F94" s="1">
        <f>NetNum!J94</f>
        <v>93</v>
      </c>
      <c r="G94" s="1">
        <f>NetNum!K94</f>
        <v>33</v>
      </c>
      <c r="H94" s="1">
        <f>NetNum!L94</f>
        <v>34</v>
      </c>
      <c r="I94" s="1">
        <f>NetNum!Q94</f>
        <v>3000</v>
      </c>
      <c r="J94" s="6">
        <f>NetNum!R94</f>
        <v>2.666666666666667</v>
      </c>
      <c r="K94" s="7">
        <v>3398.278148911606</v>
      </c>
      <c r="L94" s="6">
        <f t="shared" si="2"/>
        <v>3.3252498914883839</v>
      </c>
    </row>
    <row r="95" spans="6:12" x14ac:dyDescent="0.45">
      <c r="F95" s="1">
        <f>NetNum!J95</f>
        <v>94</v>
      </c>
      <c r="G95" s="1">
        <f>NetNum!K95</f>
        <v>33</v>
      </c>
      <c r="H95" s="1">
        <f>NetNum!L95</f>
        <v>42</v>
      </c>
      <c r="I95" s="1">
        <f>NetNum!Q95</f>
        <v>3500</v>
      </c>
      <c r="J95" s="6">
        <f>NetNum!R95</f>
        <v>4.3636363636363633</v>
      </c>
      <c r="K95" s="7">
        <v>8549.4341470080381</v>
      </c>
      <c r="L95" s="6">
        <f t="shared" si="2"/>
        <v>27.666919918183105</v>
      </c>
    </row>
    <row r="96" spans="6:12" x14ac:dyDescent="0.45">
      <c r="F96" s="1">
        <f>NetNum!J96</f>
        <v>95</v>
      </c>
      <c r="G96" s="1">
        <f>NetNum!K96</f>
        <v>34</v>
      </c>
      <c r="H96" s="1">
        <f>NetNum!L96</f>
        <v>19</v>
      </c>
      <c r="I96" s="1">
        <f>NetNum!Q96</f>
        <v>3500</v>
      </c>
      <c r="J96" s="6">
        <f>NetNum!R96</f>
        <v>3.2727272727272725</v>
      </c>
      <c r="K96" s="7">
        <v>733.66558286308702</v>
      </c>
      <c r="L96" s="6">
        <f t="shared" si="2"/>
        <v>3.2736750831547901</v>
      </c>
    </row>
    <row r="97" spans="6:12" x14ac:dyDescent="0.45">
      <c r="F97" s="1">
        <f>NetNum!J97</f>
        <v>96</v>
      </c>
      <c r="G97" s="1">
        <f>NetNum!K97</f>
        <v>34</v>
      </c>
      <c r="H97" s="1">
        <f>NetNum!L97</f>
        <v>33</v>
      </c>
      <c r="I97" s="1">
        <f>NetNum!Q97</f>
        <v>3000</v>
      </c>
      <c r="J97" s="6">
        <f>NetNum!R97</f>
        <v>2.666666666666667</v>
      </c>
      <c r="K97" s="7">
        <v>3200.3014709381782</v>
      </c>
      <c r="L97" s="6">
        <f t="shared" si="2"/>
        <v>3.1846771357190979</v>
      </c>
    </row>
    <row r="98" spans="6:12" x14ac:dyDescent="0.45">
      <c r="F98" s="1">
        <f>NetNum!J98</f>
        <v>97</v>
      </c>
      <c r="G98" s="1">
        <f>NetNum!K98</f>
        <v>34</v>
      </c>
      <c r="H98" s="1">
        <f>NetNum!L98</f>
        <v>35</v>
      </c>
      <c r="I98" s="1">
        <f>NetNum!Q98</f>
        <v>3000</v>
      </c>
      <c r="J98" s="6">
        <f>NetNum!R98</f>
        <v>2</v>
      </c>
      <c r="K98" s="7">
        <v>3290.0630725085571</v>
      </c>
      <c r="L98" s="6">
        <f t="shared" si="2"/>
        <v>2.4339634275617885</v>
      </c>
    </row>
    <row r="99" spans="6:12" x14ac:dyDescent="0.45">
      <c r="F99" s="1">
        <f>NetNum!J99</f>
        <v>98</v>
      </c>
      <c r="G99" s="1">
        <f>NetNum!K99</f>
        <v>35</v>
      </c>
      <c r="H99" s="1">
        <f>NetNum!L99</f>
        <v>20</v>
      </c>
      <c r="I99" s="1">
        <f>NetNum!Q99</f>
        <v>3000</v>
      </c>
      <c r="J99" s="6">
        <f>NetNum!R99</f>
        <v>5.3333333333333339</v>
      </c>
      <c r="K99" s="7">
        <v>0</v>
      </c>
      <c r="L99" s="6">
        <f t="shared" si="2"/>
        <v>5.3333333333333339</v>
      </c>
    </row>
    <row r="100" spans="6:12" x14ac:dyDescent="0.45">
      <c r="F100" s="1">
        <f>NetNum!J100</f>
        <v>99</v>
      </c>
      <c r="G100" s="1">
        <f>NetNum!K100</f>
        <v>35</v>
      </c>
      <c r="H100" s="1">
        <f>NetNum!L100</f>
        <v>34</v>
      </c>
      <c r="I100" s="1">
        <f>NetNum!Q100</f>
        <v>3000</v>
      </c>
      <c r="J100" s="6">
        <f>NetNum!R100</f>
        <v>2</v>
      </c>
      <c r="K100" s="7">
        <v>2927.4935260332336</v>
      </c>
      <c r="L100" s="6">
        <f t="shared" si="2"/>
        <v>2.2720320091866677</v>
      </c>
    </row>
    <row r="101" spans="6:12" x14ac:dyDescent="0.45">
      <c r="F101" s="1">
        <f>NetNum!J101</f>
        <v>100</v>
      </c>
      <c r="G101" s="1">
        <f>NetNum!K101</f>
        <v>35</v>
      </c>
      <c r="H101" s="1">
        <f>NetNum!L101</f>
        <v>36</v>
      </c>
      <c r="I101" s="1">
        <f>NetNum!Q101</f>
        <v>2000</v>
      </c>
      <c r="J101" s="6">
        <f>NetNum!R101</f>
        <v>8.5714285714285712</v>
      </c>
      <c r="K101" s="7">
        <v>3290.0630725085571</v>
      </c>
      <c r="L101" s="6">
        <f t="shared" si="2"/>
        <v>17.986885080135224</v>
      </c>
    </row>
    <row r="102" spans="6:12" x14ac:dyDescent="0.45">
      <c r="F102" s="1">
        <f>NetNum!J102</f>
        <v>101</v>
      </c>
      <c r="G102" s="1">
        <f>NetNum!K102</f>
        <v>36</v>
      </c>
      <c r="H102" s="1">
        <f>NetNum!L102</f>
        <v>21</v>
      </c>
      <c r="I102" s="1">
        <f>NetNum!Q102</f>
        <v>3500</v>
      </c>
      <c r="J102" s="6">
        <f>NetNum!R102</f>
        <v>4.9090909090909092</v>
      </c>
      <c r="K102" s="7">
        <v>4826.0267020678793</v>
      </c>
      <c r="L102" s="6">
        <f t="shared" si="2"/>
        <v>7.570913081500219</v>
      </c>
    </row>
    <row r="103" spans="6:12" x14ac:dyDescent="0.45">
      <c r="F103" s="1">
        <f>NetNum!J103</f>
        <v>102</v>
      </c>
      <c r="G103" s="1">
        <f>NetNum!K103</f>
        <v>36</v>
      </c>
      <c r="H103" s="1">
        <f>NetNum!L103</f>
        <v>35</v>
      </c>
      <c r="I103" s="1">
        <f>NetNum!Q103</f>
        <v>2000</v>
      </c>
      <c r="J103" s="6">
        <f>NetNum!R103</f>
        <v>8.5714285714285712</v>
      </c>
      <c r="K103" s="7">
        <v>2927.4935260332336</v>
      </c>
      <c r="L103" s="6">
        <f t="shared" si="2"/>
        <v>14.473551627889305</v>
      </c>
    </row>
    <row r="104" spans="6:12" x14ac:dyDescent="0.45">
      <c r="F104" s="1">
        <f>NetNum!J104</f>
        <v>103</v>
      </c>
      <c r="G104" s="1">
        <f>NetNum!K104</f>
        <v>36</v>
      </c>
      <c r="H104" s="1">
        <f>NetNum!L104</f>
        <v>37</v>
      </c>
      <c r="I104" s="1">
        <f>NetNum!Q104</f>
        <v>2000</v>
      </c>
      <c r="J104" s="6">
        <f>NetNum!R104</f>
        <v>0.8571428571428571</v>
      </c>
      <c r="K104" s="7">
        <v>2522.1284548451567</v>
      </c>
      <c r="L104" s="6">
        <f t="shared" si="2"/>
        <v>1.1822999967290004</v>
      </c>
    </row>
    <row r="105" spans="6:12" x14ac:dyDescent="0.45">
      <c r="F105" s="1">
        <f>NetNum!J105</f>
        <v>104</v>
      </c>
      <c r="G105" s="1">
        <f>NetNum!K105</f>
        <v>36</v>
      </c>
      <c r="H105" s="1">
        <f>NetNum!L105</f>
        <v>43</v>
      </c>
      <c r="I105" s="1">
        <f>NetNum!Q105</f>
        <v>3500</v>
      </c>
      <c r="J105" s="6">
        <f>NetNum!R105</f>
        <v>3.2727272727272725</v>
      </c>
      <c r="K105" s="7">
        <v>7735.9172619418323</v>
      </c>
      <c r="L105" s="6">
        <f t="shared" si="2"/>
        <v>14.988640919151752</v>
      </c>
    </row>
    <row r="106" spans="6:12" x14ac:dyDescent="0.45">
      <c r="F106" s="1">
        <f>NetNum!J106</f>
        <v>105</v>
      </c>
      <c r="G106" s="1">
        <f>NetNum!K106</f>
        <v>37</v>
      </c>
      <c r="H106" s="1">
        <f>NetNum!L106</f>
        <v>22</v>
      </c>
      <c r="I106" s="1">
        <f>NetNum!Q106</f>
        <v>3000</v>
      </c>
      <c r="J106" s="6">
        <f>NetNum!R106</f>
        <v>6.6666666666666661</v>
      </c>
      <c r="K106" s="7">
        <v>0</v>
      </c>
      <c r="L106" s="6">
        <f t="shared" si="2"/>
        <v>6.6666666666666661</v>
      </c>
    </row>
    <row r="107" spans="6:12" x14ac:dyDescent="0.45">
      <c r="F107" s="1">
        <f>NetNum!J107</f>
        <v>106</v>
      </c>
      <c r="G107" s="1">
        <f>NetNum!K107</f>
        <v>37</v>
      </c>
      <c r="H107" s="1">
        <f>NetNum!L107</f>
        <v>36</v>
      </c>
      <c r="I107" s="1">
        <f>NetNum!Q107</f>
        <v>2000</v>
      </c>
      <c r="J107" s="6">
        <f>NetNum!R107</f>
        <v>0.8571428571428571</v>
      </c>
      <c r="K107" s="7">
        <v>2380.5129689769406</v>
      </c>
      <c r="L107" s="6">
        <f t="shared" si="2"/>
        <v>1.1151945391199438</v>
      </c>
    </row>
    <row r="108" spans="6:12" x14ac:dyDescent="0.45">
      <c r="F108" s="1">
        <f>NetNum!J108</f>
        <v>107</v>
      </c>
      <c r="G108" s="1">
        <f>NetNum!K108</f>
        <v>37</v>
      </c>
      <c r="H108" s="1">
        <f>NetNum!L108</f>
        <v>38</v>
      </c>
      <c r="I108" s="1">
        <f>NetNum!Q108</f>
        <v>2000</v>
      </c>
      <c r="J108" s="6">
        <f>NetNum!R108</f>
        <v>1.7142857142857142</v>
      </c>
      <c r="K108" s="7">
        <v>4546.7579889124854</v>
      </c>
      <c r="L108" s="6">
        <f t="shared" si="2"/>
        <v>8.5827846713564551</v>
      </c>
    </row>
    <row r="109" spans="6:12" x14ac:dyDescent="0.45">
      <c r="F109" s="1">
        <f>NetNum!J109</f>
        <v>108</v>
      </c>
      <c r="G109" s="1">
        <f>NetNum!K109</f>
        <v>37</v>
      </c>
      <c r="H109" s="1">
        <f>NetNum!L109</f>
        <v>44</v>
      </c>
      <c r="I109" s="1">
        <f>NetNum!Q109</f>
        <v>3000</v>
      </c>
      <c r="J109" s="6">
        <f>NetNum!R109</f>
        <v>4</v>
      </c>
      <c r="K109" s="7">
        <v>2310.3467291313218</v>
      </c>
      <c r="L109" s="6">
        <f t="shared" si="2"/>
        <v>4.2110449091468949</v>
      </c>
    </row>
    <row r="110" spans="6:12" x14ac:dyDescent="0.45">
      <c r="F110" s="1">
        <f>NetNum!J110</f>
        <v>109</v>
      </c>
      <c r="G110" s="1">
        <f>NetNum!K110</f>
        <v>38</v>
      </c>
      <c r="H110" s="1">
        <f>NetNum!L110</f>
        <v>23</v>
      </c>
      <c r="I110" s="1">
        <f>NetNum!Q110</f>
        <v>3000</v>
      </c>
      <c r="J110" s="6">
        <f>NetNum!R110</f>
        <v>5.3333333333333339</v>
      </c>
      <c r="K110" s="7">
        <v>2250.2148352927452</v>
      </c>
      <c r="L110" s="6">
        <f t="shared" si="2"/>
        <v>5.5865550230622114</v>
      </c>
    </row>
    <row r="111" spans="6:12" x14ac:dyDescent="0.45">
      <c r="F111" s="1">
        <f>NetNum!J111</f>
        <v>110</v>
      </c>
      <c r="G111" s="1">
        <f>NetNum!K111</f>
        <v>38</v>
      </c>
      <c r="H111" s="1">
        <f>NetNum!L111</f>
        <v>26</v>
      </c>
      <c r="I111" s="1">
        <f>NetNum!Q111</f>
        <v>2000</v>
      </c>
      <c r="J111" s="6">
        <f>NetNum!R111</f>
        <v>1.7142857142857142</v>
      </c>
      <c r="K111" s="7">
        <v>1905.565959752922</v>
      </c>
      <c r="L111" s="6">
        <f t="shared" si="2"/>
        <v>1.9261952144148928</v>
      </c>
    </row>
    <row r="112" spans="6:12" x14ac:dyDescent="0.45">
      <c r="F112" s="1">
        <f>NetNum!J112</f>
        <v>111</v>
      </c>
      <c r="G112" s="1">
        <f>NetNum!K112</f>
        <v>38</v>
      </c>
      <c r="H112" s="1">
        <f>NetNum!L112</f>
        <v>37</v>
      </c>
      <c r="I112" s="1">
        <f>NetNum!Q112</f>
        <v>2000</v>
      </c>
      <c r="J112" s="6">
        <f>NetNum!R112</f>
        <v>1.7142857142857142</v>
      </c>
      <c r="K112" s="7">
        <v>4424.2799354716262</v>
      </c>
      <c r="L112" s="6">
        <f t="shared" si="2"/>
        <v>7.8720757250805393</v>
      </c>
    </row>
    <row r="113" spans="6:12" x14ac:dyDescent="0.45">
      <c r="F113" s="1">
        <f>NetNum!J113</f>
        <v>112</v>
      </c>
      <c r="G113" s="1">
        <f>NetNum!K113</f>
        <v>38</v>
      </c>
      <c r="H113" s="1">
        <f>NetNum!L113</f>
        <v>39</v>
      </c>
      <c r="I113" s="1">
        <f>NetNum!Q113</f>
        <v>3000</v>
      </c>
      <c r="J113" s="6">
        <f>NetNum!R113</f>
        <v>4</v>
      </c>
      <c r="K113" s="7">
        <v>1616.9685623188177</v>
      </c>
      <c r="L113" s="6">
        <f t="shared" si="2"/>
        <v>4.0506375326976558</v>
      </c>
    </row>
    <row r="114" spans="6:12" x14ac:dyDescent="0.45">
      <c r="F114" s="1">
        <f>NetNum!J114</f>
        <v>113</v>
      </c>
      <c r="G114" s="1">
        <f>NetNum!K114</f>
        <v>39</v>
      </c>
      <c r="H114" s="1">
        <f>NetNum!L114</f>
        <v>27</v>
      </c>
      <c r="I114" s="1">
        <f>NetNum!Q114</f>
        <v>3000</v>
      </c>
      <c r="J114" s="6">
        <f>NetNum!R114</f>
        <v>0.66666666666666674</v>
      </c>
      <c r="K114" s="7">
        <v>7890.636813026078</v>
      </c>
      <c r="L114" s="6">
        <f t="shared" si="2"/>
        <v>5.4525620213995163</v>
      </c>
    </row>
    <row r="115" spans="6:12" x14ac:dyDescent="0.45">
      <c r="F115" s="1">
        <f>NetNum!J115</f>
        <v>114</v>
      </c>
      <c r="G115" s="1">
        <f>NetNum!K115</f>
        <v>39</v>
      </c>
      <c r="H115" s="1">
        <f>NetNum!L115</f>
        <v>38</v>
      </c>
      <c r="I115" s="1">
        <f>NetNum!Q115</f>
        <v>3000</v>
      </c>
      <c r="J115" s="6">
        <f>NetNum!R115</f>
        <v>4</v>
      </c>
      <c r="K115" s="7">
        <v>1460.9883906062817</v>
      </c>
      <c r="L115" s="6">
        <f t="shared" si="2"/>
        <v>4.0337484080293047</v>
      </c>
    </row>
    <row r="116" spans="6:12" x14ac:dyDescent="0.45">
      <c r="F116" s="1">
        <f>NetNum!J116</f>
        <v>115</v>
      </c>
      <c r="G116" s="1">
        <f>NetNum!K116</f>
        <v>39</v>
      </c>
      <c r="H116" s="1">
        <f>NetNum!L116</f>
        <v>40</v>
      </c>
      <c r="I116" s="1">
        <f>NetNum!Q116</f>
        <v>3000</v>
      </c>
      <c r="J116" s="6">
        <f>NetNum!R116</f>
        <v>3.333333333333333</v>
      </c>
      <c r="K116" s="7">
        <v>3096.1226531728671</v>
      </c>
      <c r="L116" s="6">
        <f t="shared" si="2"/>
        <v>3.9005612714202158</v>
      </c>
    </row>
    <row r="117" spans="6:12" x14ac:dyDescent="0.45">
      <c r="F117" s="1">
        <f>NetNum!J117</f>
        <v>116</v>
      </c>
      <c r="G117" s="1">
        <f>NetNum!K117</f>
        <v>39</v>
      </c>
      <c r="H117" s="1">
        <f>NetNum!L117</f>
        <v>44</v>
      </c>
      <c r="I117" s="1">
        <f>NetNum!Q117</f>
        <v>3000</v>
      </c>
      <c r="J117" s="6">
        <f>NetNum!R117</f>
        <v>1.3333333333333335</v>
      </c>
      <c r="K117" s="7">
        <v>6816.0990912582447</v>
      </c>
      <c r="L117" s="6">
        <f t="shared" si="2"/>
        <v>6.6628590086804218</v>
      </c>
    </row>
    <row r="118" spans="6:12" x14ac:dyDescent="0.45">
      <c r="F118" s="1">
        <f>NetNum!J118</f>
        <v>117</v>
      </c>
      <c r="G118" s="1">
        <f>NetNum!K118</f>
        <v>40</v>
      </c>
      <c r="H118" s="1">
        <f>NetNum!L118</f>
        <v>28</v>
      </c>
      <c r="I118" s="1">
        <f>NetNum!Q118</f>
        <v>3500</v>
      </c>
      <c r="J118" s="6">
        <f>NetNum!R118</f>
        <v>0.54545454545454541</v>
      </c>
      <c r="K118" s="7">
        <v>9941.9688883373237</v>
      </c>
      <c r="L118" s="6">
        <f t="shared" si="2"/>
        <v>5.8722650303204063</v>
      </c>
    </row>
    <row r="119" spans="6:12" x14ac:dyDescent="0.45">
      <c r="F119" s="1">
        <f>NetNum!J119</f>
        <v>118</v>
      </c>
      <c r="G119" s="1">
        <f>NetNum!K119</f>
        <v>40</v>
      </c>
      <c r="H119" s="1">
        <f>NetNum!L119</f>
        <v>39</v>
      </c>
      <c r="I119" s="1">
        <f>NetNum!Q119</f>
        <v>3000</v>
      </c>
      <c r="J119" s="6">
        <f>NetNum!R119</f>
        <v>3.333333333333333</v>
      </c>
      <c r="K119" s="7">
        <v>3085.6952100681492</v>
      </c>
      <c r="L119" s="6">
        <f t="shared" si="2"/>
        <v>3.8929583120463058</v>
      </c>
    </row>
    <row r="120" spans="6:12" x14ac:dyDescent="0.45">
      <c r="F120" s="1">
        <f>NetNum!J120</f>
        <v>119</v>
      </c>
      <c r="G120" s="1">
        <f>NetNum!K120</f>
        <v>40</v>
      </c>
      <c r="H120" s="1">
        <f>NetNum!L120</f>
        <v>41</v>
      </c>
      <c r="I120" s="1">
        <f>NetNum!Q120</f>
        <v>3500</v>
      </c>
      <c r="J120" s="6">
        <f>NetNum!R120</f>
        <v>1.0909090909090908</v>
      </c>
      <c r="K120" s="7">
        <v>9160.736762759032</v>
      </c>
      <c r="L120" s="6">
        <f t="shared" si="2"/>
        <v>8.7703438885234437</v>
      </c>
    </row>
    <row r="121" spans="6:12" x14ac:dyDescent="0.45">
      <c r="F121" s="1">
        <f>NetNum!J121</f>
        <v>120</v>
      </c>
      <c r="G121" s="1">
        <f>NetNum!K121</f>
        <v>41</v>
      </c>
      <c r="H121" s="1">
        <f>NetNum!L121</f>
        <v>40</v>
      </c>
      <c r="I121" s="1">
        <f>NetNum!Q121</f>
        <v>3500</v>
      </c>
      <c r="J121" s="6">
        <f>NetNum!R121</f>
        <v>1.0909090909090908</v>
      </c>
      <c r="K121" s="7">
        <v>9140.1879242947562</v>
      </c>
      <c r="L121" s="6">
        <f t="shared" si="2"/>
        <v>8.7016711171965078</v>
      </c>
    </row>
    <row r="122" spans="6:12" x14ac:dyDescent="0.45">
      <c r="F122" s="1">
        <f>NetNum!J122</f>
        <v>121</v>
      </c>
      <c r="G122" s="1">
        <f>NetNum!K122</f>
        <v>41</v>
      </c>
      <c r="H122" s="1">
        <f>NetNum!L122</f>
        <v>42</v>
      </c>
      <c r="I122" s="1">
        <f>NetNum!Q122</f>
        <v>3500</v>
      </c>
      <c r="J122" s="6">
        <f>NetNum!R122</f>
        <v>1.0909090909090908</v>
      </c>
      <c r="K122" s="7">
        <v>8744.4742136924815</v>
      </c>
      <c r="L122" s="6">
        <f t="shared" si="2"/>
        <v>7.4668230563267786</v>
      </c>
    </row>
    <row r="123" spans="6:12" x14ac:dyDescent="0.45">
      <c r="F123" s="1">
        <f>NetNum!J123</f>
        <v>122</v>
      </c>
      <c r="G123" s="1">
        <f>NetNum!K123</f>
        <v>41</v>
      </c>
      <c r="H123" s="1">
        <f>NetNum!L123</f>
        <v>44</v>
      </c>
      <c r="I123" s="1">
        <f>NetNum!Q123</f>
        <v>3000</v>
      </c>
      <c r="J123" s="6">
        <f>NetNum!R123</f>
        <v>2.666666666666667</v>
      </c>
      <c r="K123" s="7">
        <v>1211.3244302638564</v>
      </c>
      <c r="L123" s="6">
        <f t="shared" si="2"/>
        <v>2.6772987134146242</v>
      </c>
    </row>
    <row r="124" spans="6:12" x14ac:dyDescent="0.45">
      <c r="F124" s="1">
        <f>NetNum!J124</f>
        <v>123</v>
      </c>
      <c r="G124" s="1">
        <f>NetNum!K124</f>
        <v>42</v>
      </c>
      <c r="H124" s="1">
        <f>NetNum!L124</f>
        <v>33</v>
      </c>
      <c r="I124" s="1">
        <f>NetNum!Q124</f>
        <v>3500</v>
      </c>
      <c r="J124" s="6">
        <f>NetNum!R124</f>
        <v>4.3636363636363633</v>
      </c>
      <c r="K124" s="7">
        <v>8747.7185288038509</v>
      </c>
      <c r="L124" s="6">
        <f t="shared" si="2"/>
        <v>29.905162063092462</v>
      </c>
    </row>
    <row r="125" spans="6:12" x14ac:dyDescent="0.45">
      <c r="F125" s="1">
        <f>NetNum!J125</f>
        <v>124</v>
      </c>
      <c r="G125" s="1">
        <f>NetNum!K125</f>
        <v>42</v>
      </c>
      <c r="H125" s="1">
        <f>NetNum!L125</f>
        <v>41</v>
      </c>
      <c r="I125" s="1">
        <f>NetNum!Q125</f>
        <v>3500</v>
      </c>
      <c r="J125" s="6">
        <f>NetNum!R125</f>
        <v>1.0909090909090908</v>
      </c>
      <c r="K125" s="7">
        <v>8721.0416219813887</v>
      </c>
      <c r="L125" s="6">
        <f t="shared" si="2"/>
        <v>7.3987550540669984</v>
      </c>
    </row>
    <row r="126" spans="6:12" x14ac:dyDescent="0.45">
      <c r="F126" s="1">
        <f>NetNum!J126</f>
        <v>125</v>
      </c>
      <c r="G126" s="1">
        <f>NetNum!K126</f>
        <v>42</v>
      </c>
      <c r="H126" s="1">
        <f>NetNum!L126</f>
        <v>43</v>
      </c>
      <c r="I126" s="1">
        <f>NetNum!Q126</f>
        <v>3500</v>
      </c>
      <c r="J126" s="6">
        <f>NetNum!R126</f>
        <v>1.0909090909090908</v>
      </c>
      <c r="K126" s="7">
        <v>8024.8975325209658</v>
      </c>
      <c r="L126" s="6">
        <f t="shared" si="2"/>
        <v>5.6132742384836645</v>
      </c>
    </row>
    <row r="127" spans="6:12" x14ac:dyDescent="0.45">
      <c r="F127" s="1">
        <f>NetNum!J127</f>
        <v>126</v>
      </c>
      <c r="G127" s="1">
        <f>NetNum!K127</f>
        <v>43</v>
      </c>
      <c r="H127" s="1">
        <f>NetNum!L127</f>
        <v>36</v>
      </c>
      <c r="I127" s="1">
        <f>NetNum!Q127</f>
        <v>3500</v>
      </c>
      <c r="J127" s="6">
        <f>NetNum!R127</f>
        <v>3.2727272727272725</v>
      </c>
      <c r="K127" s="7">
        <v>7425.4549081351779</v>
      </c>
      <c r="L127" s="6">
        <f t="shared" si="2"/>
        <v>13.218102147499154</v>
      </c>
    </row>
    <row r="128" spans="6:12" x14ac:dyDescent="0.45">
      <c r="F128" s="1">
        <f>NetNum!J128</f>
        <v>127</v>
      </c>
      <c r="G128" s="1">
        <f>NetNum!K128</f>
        <v>43</v>
      </c>
      <c r="H128" s="1">
        <f>NetNum!L128</f>
        <v>42</v>
      </c>
      <c r="I128" s="1">
        <f>NetNum!Q128</f>
        <v>3500</v>
      </c>
      <c r="J128" s="6">
        <f>NetNum!R128</f>
        <v>1.0909090909090908</v>
      </c>
      <c r="K128" s="7">
        <v>8262.6462194486467</v>
      </c>
      <c r="L128" s="6">
        <f t="shared" si="2"/>
        <v>6.1734896934511987</v>
      </c>
    </row>
    <row r="129" spans="6:12" x14ac:dyDescent="0.45">
      <c r="F129" s="1">
        <f>NetNum!J129</f>
        <v>128</v>
      </c>
      <c r="G129" s="1">
        <f>NetNum!K129</f>
        <v>43</v>
      </c>
      <c r="H129" s="1">
        <f>NetNum!L129</f>
        <v>44</v>
      </c>
      <c r="I129" s="1">
        <f>NetNum!Q129</f>
        <v>3000</v>
      </c>
      <c r="J129" s="6">
        <f>NetNum!R129</f>
        <v>0.66666666666666674</v>
      </c>
      <c r="K129" s="7">
        <v>9498.7699726253213</v>
      </c>
      <c r="L129" s="6">
        <f t="shared" si="2"/>
        <v>10.717092518913136</v>
      </c>
    </row>
    <row r="130" spans="6:12" x14ac:dyDescent="0.45">
      <c r="F130" s="1">
        <f>NetNum!J130</f>
        <v>129</v>
      </c>
      <c r="G130" s="1">
        <f>NetNum!K130</f>
        <v>44</v>
      </c>
      <c r="H130" s="1">
        <f>NetNum!L130</f>
        <v>37</v>
      </c>
      <c r="I130" s="1">
        <f>NetNum!Q130</f>
        <v>3000</v>
      </c>
      <c r="J130" s="6">
        <f>NetNum!R130</f>
        <v>4</v>
      </c>
      <c r="K130" s="7">
        <v>2291.2092967039634</v>
      </c>
      <c r="L130" s="6">
        <f t="shared" si="2"/>
        <v>4.2041386708388764</v>
      </c>
    </row>
    <row r="131" spans="6:12" x14ac:dyDescent="0.45">
      <c r="F131" s="1">
        <f>NetNum!J131</f>
        <v>130</v>
      </c>
      <c r="G131" s="1">
        <f>NetNum!K131</f>
        <v>44</v>
      </c>
      <c r="H131" s="1">
        <f>NetNum!L131</f>
        <v>39</v>
      </c>
      <c r="I131" s="1">
        <f>NetNum!Q131</f>
        <v>3000</v>
      </c>
      <c r="J131" s="6">
        <f>NetNum!R131</f>
        <v>1.3333333333333335</v>
      </c>
      <c r="K131" s="7">
        <v>6788.4143736079914</v>
      </c>
      <c r="L131" s="6">
        <f t="shared" ref="L131:L133" si="3">J131*(1+$D$10*((K131/I131)^$D$11))</f>
        <v>6.5767981009257905</v>
      </c>
    </row>
    <row r="132" spans="6:12" x14ac:dyDescent="0.45">
      <c r="F132" s="1">
        <f>NetNum!J132</f>
        <v>131</v>
      </c>
      <c r="G132" s="1">
        <f>NetNum!K132</f>
        <v>44</v>
      </c>
      <c r="H132" s="1">
        <f>NetNum!L132</f>
        <v>41</v>
      </c>
      <c r="I132" s="1">
        <f>NetNum!Q132</f>
        <v>3000</v>
      </c>
      <c r="J132" s="6">
        <f>NetNum!R132</f>
        <v>2.666666666666667</v>
      </c>
      <c r="K132" s="7">
        <v>1214.2081835106751</v>
      </c>
      <c r="L132" s="6">
        <f t="shared" si="3"/>
        <v>2.6774003207454418</v>
      </c>
    </row>
    <row r="133" spans="6:12" x14ac:dyDescent="0.45">
      <c r="F133" s="1">
        <f>NetNum!J133</f>
        <v>132</v>
      </c>
      <c r="G133" s="1">
        <f>NetNum!K133</f>
        <v>44</v>
      </c>
      <c r="H133" s="1">
        <f>NetNum!L133</f>
        <v>43</v>
      </c>
      <c r="I133" s="1">
        <f>NetNum!Q133</f>
        <v>3000</v>
      </c>
      <c r="J133" s="6">
        <f>NetNum!R133</f>
        <v>0.66666666666666674</v>
      </c>
      <c r="K133" s="7">
        <v>9542.7083694561115</v>
      </c>
      <c r="L133" s="6">
        <f t="shared" si="3"/>
        <v>10.904347549627106</v>
      </c>
    </row>
  </sheetData>
  <conditionalFormatting sqref="O2:BF45">
    <cfRule type="cellIs" dxfId="2" priority="1" operator="between">
      <formula>0</formula>
      <formula>98</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UpdateLinkTimes">
                <anchor moveWithCells="1" sizeWithCells="1">
                  <from>
                    <xdr:col>0</xdr:col>
                    <xdr:colOff>0</xdr:colOff>
                    <xdr:row>17</xdr:row>
                    <xdr:rowOff>33338</xdr:rowOff>
                  </from>
                  <to>
                    <xdr:col>3</xdr:col>
                    <xdr:colOff>900113</xdr:colOff>
                    <xdr:row>19</xdr:row>
                    <xdr:rowOff>133350</xdr:rowOff>
                  </to>
                </anchor>
              </controlPr>
            </control>
          </mc:Choice>
        </mc:AlternateContent>
        <mc:AlternateContent xmlns:mc="http://schemas.openxmlformats.org/markup-compatibility/2006">
          <mc:Choice Requires="x14">
            <control shapeId="8194" r:id="rId4" name="Button 2">
              <controlPr defaultSize="0" print="0" autoFill="0" autoPict="0" macro="[0]!SClearUpLinks">
                <anchor moveWithCells="1" sizeWithCells="1">
                  <from>
                    <xdr:col>0</xdr:col>
                    <xdr:colOff>0</xdr:colOff>
                    <xdr:row>13</xdr:row>
                    <xdr:rowOff>14288</xdr:rowOff>
                  </from>
                  <to>
                    <xdr:col>3</xdr:col>
                    <xdr:colOff>890588</xdr:colOff>
                    <xdr:row>15</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392AF5-85E3-47CC-9033-503BC2703E1B}">
  <sheetPr codeName="SPth"/>
  <dimension ref="A1:AN419"/>
  <sheetViews>
    <sheetView zoomScale="80" zoomScaleNormal="80" workbookViewId="0">
      <selection activeCell="Y19" sqref="Y19"/>
    </sheetView>
  </sheetViews>
  <sheetFormatPr defaultColWidth="4.73046875" defaultRowHeight="14.25" x14ac:dyDescent="0.45"/>
  <cols>
    <col min="1" max="1" width="9.796875" style="1" bestFit="1" customWidth="1"/>
    <col min="2" max="2" width="8.1328125" style="1" bestFit="1" customWidth="1"/>
    <col min="3" max="4" width="5.46484375" style="1" bestFit="1" customWidth="1"/>
    <col min="5" max="5" width="4.73046875" style="1"/>
    <col min="6" max="6" width="9.19921875" style="1" bestFit="1" customWidth="1"/>
    <col min="7" max="7" width="6.9296875" style="1" bestFit="1" customWidth="1"/>
    <col min="8" max="8" width="7.59765625" style="6" bestFit="1" customWidth="1"/>
    <col min="9" max="9" width="36.73046875" style="1" bestFit="1" customWidth="1"/>
    <col min="10" max="10" width="3.19921875" style="1" bestFit="1" customWidth="1"/>
    <col min="11" max="18" width="2.9296875" style="1" bestFit="1" customWidth="1"/>
    <col min="19" max="25" width="4" style="1" bestFit="1" customWidth="1"/>
    <col min="26" max="26" width="3.33203125" style="1" bestFit="1" customWidth="1"/>
    <col min="27" max="27" width="4.73046875" style="1"/>
    <col min="28" max="28" width="2.9296875" style="1" bestFit="1" customWidth="1"/>
    <col min="29" max="30" width="4.46484375" style="1" bestFit="1" customWidth="1"/>
    <col min="31" max="31" width="5.46484375" style="1" bestFit="1" customWidth="1"/>
    <col min="32" max="37" width="4.46484375" style="1" bestFit="1" customWidth="1"/>
    <col min="38" max="38" width="5.46484375" style="1" bestFit="1" customWidth="1"/>
    <col min="39" max="40" width="4.46484375" style="1" bestFit="1" customWidth="1"/>
    <col min="41" max="16384" width="4.73046875" style="1"/>
  </cols>
  <sheetData>
    <row r="1" spans="1:40" x14ac:dyDescent="0.45">
      <c r="A1" s="4" t="s">
        <v>295</v>
      </c>
      <c r="B1" s="4" t="s">
        <v>296</v>
      </c>
      <c r="C1" s="4" t="s">
        <v>297</v>
      </c>
      <c r="D1" s="4" t="s">
        <v>298</v>
      </c>
      <c r="F1" s="4" t="s">
        <v>264</v>
      </c>
      <c r="G1" s="4" t="s">
        <v>266</v>
      </c>
      <c r="H1" s="4" t="s">
        <v>268</v>
      </c>
      <c r="I1" s="4" t="s">
        <v>270</v>
      </c>
      <c r="J1" s="4" t="s">
        <v>347</v>
      </c>
      <c r="K1" s="4" t="s">
        <v>348</v>
      </c>
      <c r="L1" s="4" t="s">
        <v>349</v>
      </c>
      <c r="M1" s="4" t="s">
        <v>350</v>
      </c>
      <c r="N1" s="4" t="s">
        <v>351</v>
      </c>
      <c r="O1" s="4" t="s">
        <v>352</v>
      </c>
      <c r="P1" s="4" t="s">
        <v>353</v>
      </c>
      <c r="Q1" s="4" t="s">
        <v>354</v>
      </c>
      <c r="R1" s="4" t="s">
        <v>355</v>
      </c>
      <c r="S1" s="4" t="s">
        <v>356</v>
      </c>
      <c r="T1" s="4" t="s">
        <v>357</v>
      </c>
      <c r="U1" s="4" t="s">
        <v>358</v>
      </c>
      <c r="V1" s="4" t="s">
        <v>359</v>
      </c>
      <c r="W1" s="4" t="s">
        <v>360</v>
      </c>
      <c r="X1" s="4" t="s">
        <v>361</v>
      </c>
      <c r="Y1" s="4" t="s">
        <v>362</v>
      </c>
      <c r="Z1" s="4" t="s">
        <v>363</v>
      </c>
      <c r="AB1" s="4" t="s">
        <v>272</v>
      </c>
      <c r="AC1" s="3">
        <f>NetNum!T2</f>
        <v>9</v>
      </c>
      <c r="AD1" s="3">
        <f>NetNum!T3</f>
        <v>12</v>
      </c>
      <c r="AE1" s="3">
        <f>NetNum!T4</f>
        <v>29</v>
      </c>
      <c r="AF1" s="3">
        <f>NetNum!T5</f>
        <v>24</v>
      </c>
      <c r="AG1" s="3">
        <f>NetNum!T6</f>
        <v>21</v>
      </c>
      <c r="AH1" s="3">
        <f>NetNum!T7</f>
        <v>42</v>
      </c>
      <c r="AI1" s="3">
        <f>NetNum!T8</f>
        <v>43</v>
      </c>
      <c r="AJ1" s="3">
        <f>NetNum!T9</f>
        <v>31</v>
      </c>
      <c r="AK1" s="3">
        <f>NetNum!T10</f>
        <v>33</v>
      </c>
      <c r="AL1" s="3">
        <f>NetNum!T11</f>
        <v>30</v>
      </c>
      <c r="AM1" s="3">
        <f>NetNum!T12</f>
        <v>18</v>
      </c>
      <c r="AN1" s="3">
        <f>NetNum!T13</f>
        <v>40</v>
      </c>
    </row>
    <row r="2" spans="1:40" x14ac:dyDescent="0.45">
      <c r="A2" s="5" t="s">
        <v>264</v>
      </c>
      <c r="B2" s="1" t="s">
        <v>17</v>
      </c>
      <c r="C2" s="1" t="s">
        <v>299</v>
      </c>
      <c r="F2" s="1">
        <v>9</v>
      </c>
      <c r="G2" s="1">
        <v>9</v>
      </c>
      <c r="H2" s="6">
        <v>0</v>
      </c>
      <c r="I2" s="1" t="s">
        <v>364</v>
      </c>
      <c r="J2" s="1" t="s">
        <v>364</v>
      </c>
      <c r="AB2" s="3">
        <f>NetNum!T2</f>
        <v>9</v>
      </c>
      <c r="AC2" s="6">
        <v>0</v>
      </c>
      <c r="AD2" s="6">
        <v>12.582771740912152</v>
      </c>
      <c r="AE2" s="6">
        <v>41.199503386556486</v>
      </c>
      <c r="AF2" s="6">
        <v>7.9388610267962401</v>
      </c>
      <c r="AG2" s="6">
        <v>15.102653966568315</v>
      </c>
      <c r="AH2" s="6">
        <v>33.036620770941362</v>
      </c>
      <c r="AI2" s="6">
        <v>33.79674494349625</v>
      </c>
      <c r="AJ2" s="6">
        <v>43.366776014748048</v>
      </c>
      <c r="AK2" s="6">
        <v>31.402475505270996</v>
      </c>
      <c r="AL2" s="6">
        <v>45.012546051095818</v>
      </c>
      <c r="AM2" s="6">
        <v>28.300843379346563</v>
      </c>
      <c r="AN2" s="6">
        <v>20.130099656608937</v>
      </c>
    </row>
    <row r="3" spans="1:40" x14ac:dyDescent="0.45">
      <c r="A3" s="5" t="s">
        <v>266</v>
      </c>
      <c r="B3" s="1" t="s">
        <v>17</v>
      </c>
      <c r="C3" s="1" t="s">
        <v>300</v>
      </c>
      <c r="F3" s="1">
        <v>9</v>
      </c>
      <c r="G3" s="1">
        <v>12</v>
      </c>
      <c r="H3" s="6">
        <v>12.582771740912152</v>
      </c>
      <c r="I3" s="16" t="s">
        <v>365</v>
      </c>
      <c r="J3" s="1">
        <v>9</v>
      </c>
      <c r="K3" s="1">
        <v>10</v>
      </c>
      <c r="L3" s="1">
        <v>11</v>
      </c>
      <c r="M3" s="1">
        <v>12</v>
      </c>
      <c r="AB3" s="3">
        <f>NetNum!T3</f>
        <v>12</v>
      </c>
      <c r="AC3" s="6">
        <v>12.522567556133529</v>
      </c>
      <c r="AD3" s="6">
        <v>0</v>
      </c>
      <c r="AE3" s="6">
        <v>28.616731645644336</v>
      </c>
      <c r="AF3" s="6">
        <v>20.116388606300532</v>
      </c>
      <c r="AG3" s="6">
        <v>27.280181546072608</v>
      </c>
      <c r="AH3" s="6">
        <v>35.114703755558466</v>
      </c>
      <c r="AI3" s="6">
        <v>35.874827928113348</v>
      </c>
      <c r="AJ3" s="6">
        <v>30.78400427383589</v>
      </c>
      <c r="AK3" s="6">
        <v>43.580003084775292</v>
      </c>
      <c r="AL3" s="6">
        <v>32.429774310183667</v>
      </c>
      <c r="AM3" s="6">
        <v>40.47837095885086</v>
      </c>
      <c r="AN3" s="6">
        <v>22.208182641226038</v>
      </c>
    </row>
    <row r="4" spans="1:40" x14ac:dyDescent="0.45">
      <c r="A4" s="5" t="s">
        <v>268</v>
      </c>
      <c r="B4" s="1" t="s">
        <v>17</v>
      </c>
      <c r="C4" s="1" t="s">
        <v>301</v>
      </c>
      <c r="F4" s="1">
        <v>9</v>
      </c>
      <c r="G4" s="1">
        <v>29</v>
      </c>
      <c r="H4" s="6">
        <v>41.199503386556486</v>
      </c>
      <c r="I4" s="17" t="s">
        <v>407</v>
      </c>
      <c r="J4" s="1">
        <v>9</v>
      </c>
      <c r="K4" s="1">
        <v>10</v>
      </c>
      <c r="L4" s="1">
        <v>11</v>
      </c>
      <c r="M4" s="1">
        <v>12</v>
      </c>
      <c r="N4" s="1">
        <v>13</v>
      </c>
      <c r="O4" s="1">
        <v>29</v>
      </c>
      <c r="AB4" s="3">
        <f>NetNum!T4</f>
        <v>29</v>
      </c>
      <c r="AC4" s="6">
        <v>40.756771404148452</v>
      </c>
      <c r="AD4" s="6">
        <v>28.234203848014921</v>
      </c>
      <c r="AE4" s="6">
        <v>0</v>
      </c>
      <c r="AF4" s="6">
        <v>39.116582603480069</v>
      </c>
      <c r="AG4" s="6">
        <v>46.280375543252148</v>
      </c>
      <c r="AH4" s="6">
        <v>46.543216402394656</v>
      </c>
      <c r="AI4" s="6">
        <v>51.315018589951514</v>
      </c>
      <c r="AJ4" s="6">
        <v>40.182810017898703</v>
      </c>
      <c r="AK4" s="6">
        <v>62.580197081954829</v>
      </c>
      <c r="AL4" s="6">
        <v>28.533420501816728</v>
      </c>
      <c r="AM4" s="6">
        <v>58.936499762958299</v>
      </c>
      <c r="AN4" s="6">
        <v>30.306049457544432</v>
      </c>
    </row>
    <row r="5" spans="1:40" x14ac:dyDescent="0.45">
      <c r="A5" s="5" t="s">
        <v>270</v>
      </c>
      <c r="B5" s="1" t="s">
        <v>17</v>
      </c>
      <c r="C5" s="1" t="s">
        <v>302</v>
      </c>
      <c r="F5" s="1">
        <v>9</v>
      </c>
      <c r="G5" s="1">
        <v>24</v>
      </c>
      <c r="H5" s="6">
        <v>7.9388610267962401</v>
      </c>
      <c r="I5" s="16" t="s">
        <v>366</v>
      </c>
      <c r="J5" s="1">
        <v>9</v>
      </c>
      <c r="K5" s="1">
        <v>24</v>
      </c>
      <c r="AB5" s="3">
        <f>NetNum!T5</f>
        <v>24</v>
      </c>
      <c r="AC5" s="6">
        <v>7.529882079457205</v>
      </c>
      <c r="AD5" s="6">
        <v>20.112653820369356</v>
      </c>
      <c r="AE5" s="6">
        <v>38.96179290054156</v>
      </c>
      <c r="AF5" s="6">
        <v>0</v>
      </c>
      <c r="AG5" s="6">
        <v>7.1637929397720761</v>
      </c>
      <c r="AH5" s="6">
        <v>26.586338406655614</v>
      </c>
      <c r="AI5" s="6">
        <v>27.346462579210502</v>
      </c>
      <c r="AJ5" s="6">
        <v>43.67207119951803</v>
      </c>
      <c r="AK5" s="6">
        <v>23.463614478474756</v>
      </c>
      <c r="AL5" s="6">
        <v>50.911576399404368</v>
      </c>
      <c r="AM5" s="6">
        <v>20.361982352550324</v>
      </c>
      <c r="AN5" s="6">
        <v>14.421336272184394</v>
      </c>
    </row>
    <row r="6" spans="1:40" x14ac:dyDescent="0.45">
      <c r="A6" s="5" t="s">
        <v>272</v>
      </c>
      <c r="B6" s="1" t="s">
        <v>17</v>
      </c>
      <c r="C6" s="1" t="s">
        <v>303</v>
      </c>
      <c r="F6" s="1">
        <v>9</v>
      </c>
      <c r="G6" s="1">
        <v>21</v>
      </c>
      <c r="H6" s="6">
        <v>15.102653966568315</v>
      </c>
      <c r="I6" s="17" t="s">
        <v>367</v>
      </c>
      <c r="J6" s="1">
        <v>9</v>
      </c>
      <c r="K6" s="1">
        <v>24</v>
      </c>
      <c r="L6" s="1">
        <v>23</v>
      </c>
      <c r="M6" s="1">
        <v>22</v>
      </c>
      <c r="N6" s="1">
        <v>21</v>
      </c>
      <c r="AB6" s="3">
        <f>NetNum!T6</f>
        <v>21</v>
      </c>
      <c r="AC6" s="6">
        <v>14.665169151125106</v>
      </c>
      <c r="AD6" s="6">
        <v>27.24794089203726</v>
      </c>
      <c r="AE6" s="6">
        <v>46.097079972209464</v>
      </c>
      <c r="AF6" s="6">
        <v>7.1352870716679009</v>
      </c>
      <c r="AG6" s="6">
        <v>0</v>
      </c>
      <c r="AH6" s="6">
        <v>22.623635948342265</v>
      </c>
      <c r="AI6" s="6">
        <v>22.762591313217559</v>
      </c>
      <c r="AJ6" s="6">
        <v>36.508278259745957</v>
      </c>
      <c r="AK6" s="6">
        <v>16.29982153870268</v>
      </c>
      <c r="AL6" s="6">
        <v>43.747783459632295</v>
      </c>
      <c r="AM6" s="6">
        <v>13.198189412778248</v>
      </c>
      <c r="AN6" s="6">
        <v>20.061905258247229</v>
      </c>
    </row>
    <row r="7" spans="1:40" x14ac:dyDescent="0.45">
      <c r="F7" s="1">
        <v>9</v>
      </c>
      <c r="G7" s="1">
        <v>42</v>
      </c>
      <c r="H7" s="6">
        <v>33.036620770941362</v>
      </c>
      <c r="I7" s="18" t="s">
        <v>475</v>
      </c>
      <c r="J7" s="1">
        <v>9</v>
      </c>
      <c r="K7" s="1">
        <v>10</v>
      </c>
      <c r="L7" s="1">
        <v>25</v>
      </c>
      <c r="M7" s="1">
        <v>26</v>
      </c>
      <c r="N7" s="1">
        <v>38</v>
      </c>
      <c r="O7" s="1">
        <v>39</v>
      </c>
      <c r="P7" s="1">
        <v>44</v>
      </c>
      <c r="Q7" s="1">
        <v>41</v>
      </c>
      <c r="R7" s="1">
        <v>42</v>
      </c>
      <c r="AB7" s="3">
        <f>NetNum!T7</f>
        <v>42</v>
      </c>
      <c r="AC7" s="6">
        <v>33.144606432932655</v>
      </c>
      <c r="AD7" s="6">
        <v>36.061627305825354</v>
      </c>
      <c r="AE7" s="6">
        <v>46.252233329723495</v>
      </c>
      <c r="AF7" s="6">
        <v>26.480445181198583</v>
      </c>
      <c r="AG7" s="6">
        <v>22.546248590989407</v>
      </c>
      <c r="AH7" s="6">
        <v>0</v>
      </c>
      <c r="AI7" s="6">
        <v>5.6132742384836645</v>
      </c>
      <c r="AJ7" s="6">
        <v>53.197359438670773</v>
      </c>
      <c r="AK7" s="6">
        <v>29.905162063092462</v>
      </c>
      <c r="AL7" s="6">
        <v>63.584130959919129</v>
      </c>
      <c r="AM7" s="6">
        <v>34.587552385240635</v>
      </c>
      <c r="AN7" s="6">
        <v>16.100426171263507</v>
      </c>
    </row>
    <row r="8" spans="1:40" x14ac:dyDescent="0.45">
      <c r="F8" s="1">
        <v>9</v>
      </c>
      <c r="G8" s="1">
        <v>43</v>
      </c>
      <c r="H8" s="6">
        <v>33.79674494349625</v>
      </c>
      <c r="I8" s="16" t="s">
        <v>476</v>
      </c>
      <c r="J8" s="1">
        <v>9</v>
      </c>
      <c r="K8" s="1">
        <v>10</v>
      </c>
      <c r="L8" s="1">
        <v>25</v>
      </c>
      <c r="M8" s="1">
        <v>26</v>
      </c>
      <c r="N8" s="1">
        <v>38</v>
      </c>
      <c r="O8" s="1">
        <v>39</v>
      </c>
      <c r="P8" s="1">
        <v>44</v>
      </c>
      <c r="Q8" s="1">
        <v>43</v>
      </c>
      <c r="AB8" s="3">
        <f>NetNum!T8</f>
        <v>43</v>
      </c>
      <c r="AC8" s="6">
        <v>33.785645184364164</v>
      </c>
      <c r="AD8" s="6">
        <v>36.702666057256863</v>
      </c>
      <c r="AE8" s="6">
        <v>51.235822771967563</v>
      </c>
      <c r="AF8" s="6">
        <v>26.600654887106238</v>
      </c>
      <c r="AG8" s="6">
        <v>20.789015228999375</v>
      </c>
      <c r="AH8" s="6">
        <v>6.1734896934511987</v>
      </c>
      <c r="AI8" s="6">
        <v>0</v>
      </c>
      <c r="AJ8" s="6">
        <v>56.440560295872544</v>
      </c>
      <c r="AK8" s="6">
        <v>33.148362920294225</v>
      </c>
      <c r="AL8" s="6">
        <v>64.536798688631677</v>
      </c>
      <c r="AM8" s="6">
        <v>33.987204641777623</v>
      </c>
      <c r="AN8" s="6">
        <v>21.194451891259142</v>
      </c>
    </row>
    <row r="9" spans="1:40" x14ac:dyDescent="0.45">
      <c r="F9" s="1">
        <v>9</v>
      </c>
      <c r="G9" s="1">
        <v>31</v>
      </c>
      <c r="H9" s="6">
        <v>43.366776014748048</v>
      </c>
      <c r="I9" s="17" t="s">
        <v>416</v>
      </c>
      <c r="J9" s="1">
        <v>9</v>
      </c>
      <c r="K9" s="1">
        <v>10</v>
      </c>
      <c r="L9" s="1">
        <v>11</v>
      </c>
      <c r="M9" s="1">
        <v>12</v>
      </c>
      <c r="N9" s="1">
        <v>13</v>
      </c>
      <c r="O9" s="1">
        <v>14</v>
      </c>
      <c r="P9" s="1">
        <v>15</v>
      </c>
      <c r="Q9" s="1">
        <v>16</v>
      </c>
      <c r="R9" s="1">
        <v>31</v>
      </c>
      <c r="AB9" s="3">
        <f>NetNum!T9</f>
        <v>31</v>
      </c>
      <c r="AC9" s="6">
        <v>42.211219217910703</v>
      </c>
      <c r="AD9" s="6">
        <v>29.688651661777172</v>
      </c>
      <c r="AE9" s="6">
        <v>40.162800097932433</v>
      </c>
      <c r="AF9" s="6">
        <v>43.420267044978011</v>
      </c>
      <c r="AG9" s="6">
        <v>36.284979973310115</v>
      </c>
      <c r="AH9" s="6">
        <v>52.726994559324346</v>
      </c>
      <c r="AI9" s="6">
        <v>58.340268797808008</v>
      </c>
      <c r="AJ9" s="6">
        <v>0</v>
      </c>
      <c r="AK9" s="6">
        <v>25.060074641141242</v>
      </c>
      <c r="AL9" s="6">
        <v>11.730785760209594</v>
      </c>
      <c r="AM9" s="6">
        <v>23.096295814178596</v>
      </c>
      <c r="AN9" s="6">
        <v>51.896834303003217</v>
      </c>
    </row>
    <row r="10" spans="1:40" x14ac:dyDescent="0.45">
      <c r="F10" s="1">
        <v>9</v>
      </c>
      <c r="G10" s="1">
        <v>33</v>
      </c>
      <c r="H10" s="6">
        <v>31.402475505270996</v>
      </c>
      <c r="I10" s="18" t="s">
        <v>417</v>
      </c>
      <c r="J10" s="1">
        <v>9</v>
      </c>
      <c r="K10" s="1">
        <v>24</v>
      </c>
      <c r="L10" s="1">
        <v>23</v>
      </c>
      <c r="M10" s="1">
        <v>22</v>
      </c>
      <c r="N10" s="1">
        <v>21</v>
      </c>
      <c r="O10" s="1">
        <v>20</v>
      </c>
      <c r="P10" s="1">
        <v>19</v>
      </c>
      <c r="Q10" s="1">
        <v>34</v>
      </c>
      <c r="R10" s="1">
        <v>33</v>
      </c>
      <c r="AB10" s="3">
        <f>NetNum!T10</f>
        <v>33</v>
      </c>
      <c r="AC10" s="6">
        <v>31.046973014747817</v>
      </c>
      <c r="AD10" s="6">
        <v>43.629744755659964</v>
      </c>
      <c r="AE10" s="6">
        <v>62.110983234549508</v>
      </c>
      <c r="AF10" s="6">
        <v>23.517090935290611</v>
      </c>
      <c r="AG10" s="6">
        <v>16.381803863622707</v>
      </c>
      <c r="AH10" s="6">
        <v>27.666919918183105</v>
      </c>
      <c r="AI10" s="6">
        <v>33.280194156666767</v>
      </c>
      <c r="AJ10" s="6">
        <v>23.292197375578311</v>
      </c>
      <c r="AK10" s="6">
        <v>0</v>
      </c>
      <c r="AL10" s="6">
        <v>33.678968896826667</v>
      </c>
      <c r="AM10" s="6">
        <v>4.6823903221481737</v>
      </c>
      <c r="AN10" s="6">
        <v>36.443709121869936</v>
      </c>
    </row>
    <row r="11" spans="1:40" x14ac:dyDescent="0.45">
      <c r="F11" s="1">
        <v>9</v>
      </c>
      <c r="G11" s="1">
        <v>30</v>
      </c>
      <c r="H11" s="6">
        <v>45.012546051095818</v>
      </c>
      <c r="I11" s="16" t="s">
        <v>459</v>
      </c>
      <c r="J11" s="1">
        <v>9</v>
      </c>
      <c r="K11" s="1">
        <v>10</v>
      </c>
      <c r="L11" s="1">
        <v>11</v>
      </c>
      <c r="M11" s="1">
        <v>12</v>
      </c>
      <c r="N11" s="1">
        <v>13</v>
      </c>
      <c r="O11" s="1">
        <v>14</v>
      </c>
      <c r="P11" s="1">
        <v>15</v>
      </c>
      <c r="Q11" s="1">
        <v>30</v>
      </c>
      <c r="AB11" s="3">
        <f>NetNum!T11</f>
        <v>30</v>
      </c>
      <c r="AC11" s="6">
        <v>43.924267501335109</v>
      </c>
      <c r="AD11" s="6">
        <v>31.401699945201578</v>
      </c>
      <c r="AE11" s="6">
        <v>28.43201433772284</v>
      </c>
      <c r="AF11" s="6">
        <v>50.727050491940986</v>
      </c>
      <c r="AG11" s="6">
        <v>43.591763420273089</v>
      </c>
      <c r="AH11" s="6">
        <v>62.587636917354438</v>
      </c>
      <c r="AI11" s="6">
        <v>66.354354733490652</v>
      </c>
      <c r="AJ11" s="6">
        <v>11.649389516081975</v>
      </c>
      <c r="AK11" s="6">
        <v>34.920716999171333</v>
      </c>
      <c r="AL11" s="6">
        <v>0</v>
      </c>
      <c r="AM11" s="6">
        <v>30.403079261141571</v>
      </c>
      <c r="AN11" s="6">
        <v>53.609882586427617</v>
      </c>
    </row>
    <row r="12" spans="1:40" x14ac:dyDescent="0.45">
      <c r="F12" s="1">
        <v>9</v>
      </c>
      <c r="G12" s="1">
        <v>18</v>
      </c>
      <c r="H12" s="6">
        <v>28.300843379346563</v>
      </c>
      <c r="I12" s="16" t="s">
        <v>398</v>
      </c>
      <c r="J12" s="1">
        <v>9</v>
      </c>
      <c r="K12" s="1">
        <v>24</v>
      </c>
      <c r="L12" s="1">
        <v>23</v>
      </c>
      <c r="M12" s="1">
        <v>22</v>
      </c>
      <c r="N12" s="1">
        <v>21</v>
      </c>
      <c r="O12" s="1">
        <v>20</v>
      </c>
      <c r="P12" s="1">
        <v>19</v>
      </c>
      <c r="Q12" s="1">
        <v>18</v>
      </c>
      <c r="AB12" s="3">
        <f>NetNum!T12</f>
        <v>18</v>
      </c>
      <c r="AC12" s="6">
        <v>27.853853310256625</v>
      </c>
      <c r="AD12" s="6">
        <v>40.436625051168782</v>
      </c>
      <c r="AE12" s="6">
        <v>58.98160838457688</v>
      </c>
      <c r="AF12" s="6">
        <v>20.323971230799419</v>
      </c>
      <c r="AG12" s="6">
        <v>13.188684159131515</v>
      </c>
      <c r="AH12" s="6">
        <v>32.184557656212867</v>
      </c>
      <c r="AI12" s="6">
        <v>35.951275472349074</v>
      </c>
      <c r="AJ12" s="6">
        <v>23.310088846967702</v>
      </c>
      <c r="AK12" s="6">
        <v>4.5176377380297623</v>
      </c>
      <c r="AL12" s="6">
        <v>30.54959404685404</v>
      </c>
      <c r="AM12" s="6">
        <v>0</v>
      </c>
      <c r="AN12" s="6">
        <v>33.250589417378748</v>
      </c>
    </row>
    <row r="13" spans="1:40" x14ac:dyDescent="0.45">
      <c r="F13" s="1">
        <v>9</v>
      </c>
      <c r="G13" s="1">
        <v>40</v>
      </c>
      <c r="H13" s="6">
        <v>20.130099656608937</v>
      </c>
      <c r="I13" s="16" t="s">
        <v>460</v>
      </c>
      <c r="J13" s="1">
        <v>9</v>
      </c>
      <c r="K13" s="1">
        <v>10</v>
      </c>
      <c r="L13" s="1">
        <v>25</v>
      </c>
      <c r="M13" s="1">
        <v>26</v>
      </c>
      <c r="N13" s="1">
        <v>38</v>
      </c>
      <c r="O13" s="1">
        <v>39</v>
      </c>
      <c r="P13" s="1">
        <v>40</v>
      </c>
      <c r="AB13" s="3">
        <f>NetNum!T13</f>
        <v>40</v>
      </c>
      <c r="AC13" s="6">
        <v>20.384712876571548</v>
      </c>
      <c r="AD13" s="6">
        <v>23.301733749464248</v>
      </c>
      <c r="AE13" s="6">
        <v>30.151807158459988</v>
      </c>
      <c r="AF13" s="6">
        <v>14.241744832979778</v>
      </c>
      <c r="AG13" s="6">
        <v>19.910819687146788</v>
      </c>
      <c r="AH13" s="6">
        <v>16.237166944850223</v>
      </c>
      <c r="AI13" s="6">
        <v>21.460164870353836</v>
      </c>
      <c r="AJ13" s="6">
        <v>54.085738023300145</v>
      </c>
      <c r="AK13" s="6">
        <v>35.805411303480618</v>
      </c>
      <c r="AL13" s="6">
        <v>55.731508059647915</v>
      </c>
      <c r="AM13" s="6">
        <v>33.109009099925039</v>
      </c>
      <c r="AN13" s="6">
        <v>0</v>
      </c>
    </row>
    <row r="14" spans="1:40" x14ac:dyDescent="0.45">
      <c r="F14" s="1">
        <v>12</v>
      </c>
      <c r="G14" s="1">
        <v>9</v>
      </c>
      <c r="H14" s="6">
        <v>12.522567556133529</v>
      </c>
      <c r="I14" s="18" t="s">
        <v>368</v>
      </c>
      <c r="J14" s="1">
        <v>12</v>
      </c>
      <c r="K14" s="1">
        <v>11</v>
      </c>
      <c r="L14" s="1">
        <v>10</v>
      </c>
      <c r="M14" s="1">
        <v>9</v>
      </c>
    </row>
    <row r="15" spans="1:40" x14ac:dyDescent="0.45">
      <c r="F15" s="1">
        <v>12</v>
      </c>
      <c r="G15" s="1">
        <v>12</v>
      </c>
      <c r="H15" s="6">
        <v>0</v>
      </c>
      <c r="I15" s="16" t="s">
        <v>364</v>
      </c>
      <c r="J15" s="1" t="s">
        <v>364</v>
      </c>
    </row>
    <row r="16" spans="1:40" x14ac:dyDescent="0.45">
      <c r="F16" s="1">
        <v>12</v>
      </c>
      <c r="G16" s="1">
        <v>29</v>
      </c>
      <c r="H16" s="6">
        <v>28.616731645644336</v>
      </c>
      <c r="I16" s="18" t="s">
        <v>399</v>
      </c>
      <c r="J16" s="1">
        <v>12</v>
      </c>
      <c r="K16" s="1">
        <v>13</v>
      </c>
      <c r="L16" s="1">
        <v>29</v>
      </c>
    </row>
    <row r="17" spans="6:21" x14ac:dyDescent="0.45">
      <c r="F17" s="1">
        <v>12</v>
      </c>
      <c r="G17" s="1">
        <v>24</v>
      </c>
      <c r="H17" s="6">
        <v>20.116388606300532</v>
      </c>
      <c r="I17" s="17" t="s">
        <v>477</v>
      </c>
      <c r="J17" s="1">
        <v>12</v>
      </c>
      <c r="K17" s="1">
        <v>11</v>
      </c>
      <c r="L17" s="1">
        <v>10</v>
      </c>
      <c r="M17" s="1">
        <v>25</v>
      </c>
      <c r="N17" s="1">
        <v>24</v>
      </c>
    </row>
    <row r="18" spans="6:21" x14ac:dyDescent="0.45">
      <c r="F18" s="1">
        <v>12</v>
      </c>
      <c r="G18" s="1">
        <v>21</v>
      </c>
      <c r="H18" s="6">
        <v>27.280181546072608</v>
      </c>
      <c r="I18" s="18" t="s">
        <v>478</v>
      </c>
      <c r="J18" s="1">
        <v>12</v>
      </c>
      <c r="K18" s="1">
        <v>11</v>
      </c>
      <c r="L18" s="1">
        <v>10</v>
      </c>
      <c r="M18" s="1">
        <v>25</v>
      </c>
      <c r="N18" s="1">
        <v>24</v>
      </c>
      <c r="O18" s="1">
        <v>23</v>
      </c>
      <c r="P18" s="1">
        <v>22</v>
      </c>
      <c r="Q18" s="1">
        <v>21</v>
      </c>
    </row>
    <row r="19" spans="6:21" x14ac:dyDescent="0.45">
      <c r="F19" s="1">
        <v>12</v>
      </c>
      <c r="G19" s="1">
        <v>42</v>
      </c>
      <c r="H19" s="6">
        <v>35.114703755558466</v>
      </c>
      <c r="I19" s="17" t="s">
        <v>411</v>
      </c>
      <c r="J19" s="1">
        <v>12</v>
      </c>
      <c r="K19" s="1">
        <v>27</v>
      </c>
      <c r="L19" s="1">
        <v>39</v>
      </c>
      <c r="M19" s="1">
        <v>44</v>
      </c>
      <c r="N19" s="1">
        <v>41</v>
      </c>
      <c r="O19" s="1">
        <v>42</v>
      </c>
    </row>
    <row r="20" spans="6:21" x14ac:dyDescent="0.45">
      <c r="F20" s="1">
        <v>12</v>
      </c>
      <c r="G20" s="1">
        <v>43</v>
      </c>
      <c r="H20" s="6">
        <v>35.874827928113348</v>
      </c>
      <c r="I20" s="18" t="s">
        <v>369</v>
      </c>
      <c r="J20" s="1">
        <v>12</v>
      </c>
      <c r="K20" s="1">
        <v>27</v>
      </c>
      <c r="L20" s="1">
        <v>39</v>
      </c>
      <c r="M20" s="1">
        <v>44</v>
      </c>
      <c r="N20" s="1">
        <v>43</v>
      </c>
    </row>
    <row r="21" spans="6:21" x14ac:dyDescent="0.45">
      <c r="F21" s="1">
        <v>12</v>
      </c>
      <c r="G21" s="1">
        <v>31</v>
      </c>
      <c r="H21" s="6">
        <v>30.78400427383589</v>
      </c>
      <c r="I21" s="16" t="s">
        <v>418</v>
      </c>
      <c r="J21" s="1">
        <v>12</v>
      </c>
      <c r="K21" s="1">
        <v>13</v>
      </c>
      <c r="L21" s="1">
        <v>14</v>
      </c>
      <c r="M21" s="1">
        <v>15</v>
      </c>
      <c r="N21" s="1">
        <v>16</v>
      </c>
      <c r="O21" s="1">
        <v>31</v>
      </c>
    </row>
    <row r="22" spans="6:21" x14ac:dyDescent="0.45">
      <c r="F22" s="1">
        <v>12</v>
      </c>
      <c r="G22" s="1">
        <v>33</v>
      </c>
      <c r="H22" s="6">
        <v>43.580003084775292</v>
      </c>
      <c r="I22" s="1" t="s">
        <v>479</v>
      </c>
      <c r="J22" s="1">
        <v>12</v>
      </c>
      <c r="K22" s="1">
        <v>11</v>
      </c>
      <c r="L22" s="1">
        <v>10</v>
      </c>
      <c r="M22" s="1">
        <v>25</v>
      </c>
      <c r="N22" s="1">
        <v>24</v>
      </c>
      <c r="O22" s="1">
        <v>23</v>
      </c>
      <c r="P22" s="1">
        <v>22</v>
      </c>
      <c r="Q22" s="1">
        <v>21</v>
      </c>
      <c r="R22" s="1">
        <v>20</v>
      </c>
      <c r="S22" s="1">
        <v>19</v>
      </c>
      <c r="T22" s="1">
        <v>34</v>
      </c>
      <c r="U22" s="1">
        <v>33</v>
      </c>
    </row>
    <row r="23" spans="6:21" x14ac:dyDescent="0.45">
      <c r="F23" s="1">
        <v>12</v>
      </c>
      <c r="G23" s="1">
        <v>30</v>
      </c>
      <c r="H23" s="6">
        <v>32.429774310183667</v>
      </c>
      <c r="I23" s="18" t="s">
        <v>461</v>
      </c>
      <c r="J23" s="1">
        <v>12</v>
      </c>
      <c r="K23" s="1">
        <v>13</v>
      </c>
      <c r="L23" s="1">
        <v>14</v>
      </c>
      <c r="M23" s="1">
        <v>15</v>
      </c>
      <c r="N23" s="1">
        <v>30</v>
      </c>
    </row>
    <row r="24" spans="6:21" x14ac:dyDescent="0.45">
      <c r="F24" s="1">
        <v>12</v>
      </c>
      <c r="G24" s="1">
        <v>18</v>
      </c>
      <c r="H24" s="6">
        <v>40.47837095885086</v>
      </c>
      <c r="I24" s="1" t="s">
        <v>480</v>
      </c>
      <c r="J24" s="1">
        <v>12</v>
      </c>
      <c r="K24" s="1">
        <v>11</v>
      </c>
      <c r="L24" s="1">
        <v>10</v>
      </c>
      <c r="M24" s="1">
        <v>25</v>
      </c>
      <c r="N24" s="1">
        <v>24</v>
      </c>
      <c r="O24" s="1">
        <v>23</v>
      </c>
      <c r="P24" s="1">
        <v>22</v>
      </c>
      <c r="Q24" s="1">
        <v>21</v>
      </c>
      <c r="R24" s="1">
        <v>20</v>
      </c>
      <c r="S24" s="1">
        <v>19</v>
      </c>
      <c r="T24" s="1">
        <v>18</v>
      </c>
    </row>
    <row r="25" spans="6:21" x14ac:dyDescent="0.45">
      <c r="F25" s="1">
        <v>12</v>
      </c>
      <c r="G25" s="1">
        <v>40</v>
      </c>
      <c r="H25" s="6">
        <v>22.208182641226038</v>
      </c>
      <c r="I25" s="17" t="s">
        <v>448</v>
      </c>
      <c r="J25" s="1">
        <v>12</v>
      </c>
      <c r="K25" s="1">
        <v>27</v>
      </c>
      <c r="L25" s="1">
        <v>39</v>
      </c>
      <c r="M25" s="1">
        <v>40</v>
      </c>
    </row>
    <row r="26" spans="6:21" x14ac:dyDescent="0.45">
      <c r="F26" s="1">
        <v>29</v>
      </c>
      <c r="G26" s="1">
        <v>9</v>
      </c>
      <c r="H26" s="6">
        <v>40.756771404148452</v>
      </c>
      <c r="I26" s="16" t="s">
        <v>408</v>
      </c>
      <c r="J26" s="1">
        <v>29</v>
      </c>
      <c r="K26" s="1">
        <v>13</v>
      </c>
      <c r="L26" s="1">
        <v>12</v>
      </c>
      <c r="M26" s="1">
        <v>11</v>
      </c>
      <c r="N26" s="1">
        <v>10</v>
      </c>
      <c r="O26" s="1">
        <v>9</v>
      </c>
    </row>
    <row r="27" spans="6:21" x14ac:dyDescent="0.45">
      <c r="F27" s="1">
        <v>29</v>
      </c>
      <c r="G27" s="1">
        <v>12</v>
      </c>
      <c r="H27" s="6">
        <v>28.234203848014921</v>
      </c>
      <c r="I27" s="17" t="s">
        <v>370</v>
      </c>
      <c r="J27" s="1">
        <v>29</v>
      </c>
      <c r="K27" s="1">
        <v>13</v>
      </c>
      <c r="L27" s="1">
        <v>12</v>
      </c>
    </row>
    <row r="28" spans="6:21" x14ac:dyDescent="0.45">
      <c r="F28" s="1">
        <v>29</v>
      </c>
      <c r="G28" s="1">
        <v>29</v>
      </c>
      <c r="H28" s="6">
        <v>0</v>
      </c>
      <c r="I28" s="18" t="s">
        <v>364</v>
      </c>
      <c r="J28" s="1" t="s">
        <v>364</v>
      </c>
    </row>
    <row r="29" spans="6:21" x14ac:dyDescent="0.45">
      <c r="F29" s="1">
        <v>29</v>
      </c>
      <c r="G29" s="1">
        <v>24</v>
      </c>
      <c r="H29" s="6">
        <v>39.116582603480069</v>
      </c>
      <c r="I29" s="16" t="s">
        <v>437</v>
      </c>
      <c r="J29" s="1">
        <v>29</v>
      </c>
      <c r="K29" s="1">
        <v>28</v>
      </c>
      <c r="L29" s="1">
        <v>27</v>
      </c>
      <c r="M29" s="1">
        <v>26</v>
      </c>
      <c r="N29" s="1">
        <v>25</v>
      </c>
      <c r="O29" s="1">
        <v>24</v>
      </c>
    </row>
    <row r="30" spans="6:21" x14ac:dyDescent="0.45">
      <c r="F30" s="1">
        <v>29</v>
      </c>
      <c r="G30" s="1">
        <v>21</v>
      </c>
      <c r="H30" s="6">
        <v>46.280375543252148</v>
      </c>
      <c r="I30" s="16" t="s">
        <v>462</v>
      </c>
      <c r="J30" s="1">
        <v>29</v>
      </c>
      <c r="K30" s="1">
        <v>28</v>
      </c>
      <c r="L30" s="1">
        <v>27</v>
      </c>
      <c r="M30" s="1">
        <v>26</v>
      </c>
      <c r="N30" s="1">
        <v>25</v>
      </c>
      <c r="O30" s="1">
        <v>24</v>
      </c>
      <c r="P30" s="1">
        <v>23</v>
      </c>
      <c r="Q30" s="1">
        <v>22</v>
      </c>
      <c r="R30" s="1">
        <v>21</v>
      </c>
    </row>
    <row r="31" spans="6:21" x14ac:dyDescent="0.45">
      <c r="F31" s="1">
        <v>29</v>
      </c>
      <c r="G31" s="1">
        <v>42</v>
      </c>
      <c r="H31" s="6">
        <v>46.543216402394656</v>
      </c>
      <c r="I31" s="18" t="s">
        <v>438</v>
      </c>
      <c r="J31" s="1">
        <v>29</v>
      </c>
      <c r="K31" s="1">
        <v>28</v>
      </c>
      <c r="L31" s="1">
        <v>40</v>
      </c>
      <c r="M31" s="1">
        <v>41</v>
      </c>
      <c r="N31" s="1">
        <v>42</v>
      </c>
    </row>
    <row r="32" spans="6:21" x14ac:dyDescent="0.45">
      <c r="F32" s="1">
        <v>29</v>
      </c>
      <c r="G32" s="1">
        <v>43</v>
      </c>
      <c r="H32" s="6">
        <v>51.315018589951514</v>
      </c>
      <c r="I32" s="16" t="s">
        <v>412</v>
      </c>
      <c r="J32" s="1">
        <v>29</v>
      </c>
      <c r="K32" s="1">
        <v>28</v>
      </c>
      <c r="L32" s="1">
        <v>27</v>
      </c>
      <c r="M32" s="1">
        <v>39</v>
      </c>
      <c r="N32" s="1">
        <v>44</v>
      </c>
      <c r="O32" s="1">
        <v>43</v>
      </c>
    </row>
    <row r="33" spans="6:22" x14ac:dyDescent="0.45">
      <c r="F33" s="1">
        <v>29</v>
      </c>
      <c r="G33" s="1">
        <v>31</v>
      </c>
      <c r="H33" s="6">
        <v>40.182810017898703</v>
      </c>
      <c r="I33" s="18" t="s">
        <v>439</v>
      </c>
      <c r="J33" s="1">
        <v>29</v>
      </c>
      <c r="K33" s="1">
        <v>30</v>
      </c>
      <c r="L33" s="1">
        <v>31</v>
      </c>
    </row>
    <row r="34" spans="6:22" x14ac:dyDescent="0.45">
      <c r="F34" s="1">
        <v>29</v>
      </c>
      <c r="G34" s="1">
        <v>33</v>
      </c>
      <c r="H34" s="6">
        <v>62.580197081954829</v>
      </c>
      <c r="I34" s="16" t="s">
        <v>481</v>
      </c>
      <c r="J34" s="1">
        <v>29</v>
      </c>
      <c r="K34" s="1">
        <v>28</v>
      </c>
      <c r="L34" s="1">
        <v>27</v>
      </c>
      <c r="M34" s="1">
        <v>26</v>
      </c>
      <c r="N34" s="1">
        <v>25</v>
      </c>
      <c r="O34" s="1">
        <v>24</v>
      </c>
      <c r="P34" s="1">
        <v>23</v>
      </c>
      <c r="Q34" s="1">
        <v>22</v>
      </c>
      <c r="R34" s="1">
        <v>21</v>
      </c>
      <c r="S34" s="1">
        <v>20</v>
      </c>
      <c r="T34" s="1">
        <v>19</v>
      </c>
      <c r="U34" s="1">
        <v>34</v>
      </c>
      <c r="V34" s="1">
        <v>33</v>
      </c>
    </row>
    <row r="35" spans="6:22" x14ac:dyDescent="0.45">
      <c r="F35" s="1">
        <v>29</v>
      </c>
      <c r="G35" s="1">
        <v>30</v>
      </c>
      <c r="H35" s="6">
        <v>28.533420501816728</v>
      </c>
      <c r="I35" s="18" t="s">
        <v>371</v>
      </c>
      <c r="J35" s="1">
        <v>29</v>
      </c>
      <c r="K35" s="1">
        <v>30</v>
      </c>
    </row>
    <row r="36" spans="6:22" x14ac:dyDescent="0.45">
      <c r="F36" s="1">
        <v>29</v>
      </c>
      <c r="G36" s="1">
        <v>18</v>
      </c>
      <c r="H36" s="6">
        <v>58.936499762958299</v>
      </c>
      <c r="I36" s="16" t="s">
        <v>463</v>
      </c>
      <c r="J36" s="1">
        <v>29</v>
      </c>
      <c r="K36" s="1">
        <v>30</v>
      </c>
      <c r="L36" s="1">
        <v>15</v>
      </c>
      <c r="M36" s="1">
        <v>16</v>
      </c>
      <c r="N36" s="1">
        <v>17</v>
      </c>
      <c r="O36" s="1">
        <v>18</v>
      </c>
    </row>
    <row r="37" spans="6:22" x14ac:dyDescent="0.45">
      <c r="F37" s="1">
        <v>29</v>
      </c>
      <c r="G37" s="1">
        <v>40</v>
      </c>
      <c r="H37" s="6">
        <v>30.306049457544432</v>
      </c>
      <c r="I37" s="18" t="s">
        <v>372</v>
      </c>
      <c r="J37" s="1">
        <v>29</v>
      </c>
      <c r="K37" s="1">
        <v>28</v>
      </c>
      <c r="L37" s="1">
        <v>40</v>
      </c>
    </row>
    <row r="38" spans="6:22" x14ac:dyDescent="0.45">
      <c r="F38" s="1">
        <v>24</v>
      </c>
      <c r="G38" s="1">
        <v>9</v>
      </c>
      <c r="H38" s="6">
        <v>7.529882079457205</v>
      </c>
      <c r="I38" s="16" t="s">
        <v>373</v>
      </c>
      <c r="J38" s="1">
        <v>24</v>
      </c>
      <c r="K38" s="1">
        <v>9</v>
      </c>
    </row>
    <row r="39" spans="6:22" x14ac:dyDescent="0.45">
      <c r="F39" s="1">
        <v>24</v>
      </c>
      <c r="G39" s="1">
        <v>12</v>
      </c>
      <c r="H39" s="6">
        <v>20.112653820369356</v>
      </c>
      <c r="I39" s="18" t="s">
        <v>440</v>
      </c>
      <c r="J39" s="1">
        <v>24</v>
      </c>
      <c r="K39" s="1">
        <v>9</v>
      </c>
      <c r="L39" s="1">
        <v>10</v>
      </c>
      <c r="M39" s="1">
        <v>11</v>
      </c>
      <c r="N39" s="1">
        <v>12</v>
      </c>
    </row>
    <row r="40" spans="6:22" x14ac:dyDescent="0.45">
      <c r="F40" s="1">
        <v>24</v>
      </c>
      <c r="G40" s="1">
        <v>29</v>
      </c>
      <c r="H40" s="6">
        <v>38.96179290054156</v>
      </c>
      <c r="I40" s="17" t="s">
        <v>441</v>
      </c>
      <c r="J40" s="1">
        <v>24</v>
      </c>
      <c r="K40" s="1">
        <v>25</v>
      </c>
      <c r="L40" s="1">
        <v>26</v>
      </c>
      <c r="M40" s="1">
        <v>27</v>
      </c>
      <c r="N40" s="1">
        <v>28</v>
      </c>
      <c r="O40" s="1">
        <v>29</v>
      </c>
    </row>
    <row r="41" spans="6:22" x14ac:dyDescent="0.45">
      <c r="F41" s="1">
        <v>24</v>
      </c>
      <c r="G41" s="1">
        <v>24</v>
      </c>
      <c r="H41" s="6">
        <v>0</v>
      </c>
      <c r="I41" s="18" t="s">
        <v>364</v>
      </c>
      <c r="J41" s="1" t="s">
        <v>364</v>
      </c>
    </row>
    <row r="42" spans="6:22" x14ac:dyDescent="0.45">
      <c r="F42" s="1">
        <v>24</v>
      </c>
      <c r="G42" s="1">
        <v>21</v>
      </c>
      <c r="H42" s="6">
        <v>7.1637929397720761</v>
      </c>
      <c r="I42" s="17" t="s">
        <v>374</v>
      </c>
      <c r="J42" s="1">
        <v>24</v>
      </c>
      <c r="K42" s="1">
        <v>23</v>
      </c>
      <c r="L42" s="1">
        <v>22</v>
      </c>
      <c r="M42" s="1">
        <v>21</v>
      </c>
    </row>
    <row r="43" spans="6:22" x14ac:dyDescent="0.45">
      <c r="F43" s="1">
        <v>24</v>
      </c>
      <c r="G43" s="1">
        <v>42</v>
      </c>
      <c r="H43" s="6">
        <v>26.586338406655614</v>
      </c>
      <c r="I43" s="1" t="s">
        <v>482</v>
      </c>
      <c r="J43" s="1">
        <v>24</v>
      </c>
      <c r="K43" s="1">
        <v>23</v>
      </c>
      <c r="L43" s="1">
        <v>22</v>
      </c>
      <c r="M43" s="1">
        <v>37</v>
      </c>
      <c r="N43" s="1">
        <v>44</v>
      </c>
      <c r="O43" s="1">
        <v>41</v>
      </c>
      <c r="P43" s="1">
        <v>42</v>
      </c>
    </row>
    <row r="44" spans="6:22" x14ac:dyDescent="0.45">
      <c r="F44" s="1">
        <v>24</v>
      </c>
      <c r="G44" s="1">
        <v>43</v>
      </c>
      <c r="H44" s="6">
        <v>27.346462579210502</v>
      </c>
      <c r="I44" s="18" t="s">
        <v>483</v>
      </c>
      <c r="J44" s="1">
        <v>24</v>
      </c>
      <c r="K44" s="1">
        <v>23</v>
      </c>
      <c r="L44" s="1">
        <v>22</v>
      </c>
      <c r="M44" s="1">
        <v>37</v>
      </c>
      <c r="N44" s="1">
        <v>44</v>
      </c>
      <c r="O44" s="1">
        <v>43</v>
      </c>
    </row>
    <row r="45" spans="6:22" x14ac:dyDescent="0.45">
      <c r="F45" s="1">
        <v>24</v>
      </c>
      <c r="G45" s="1">
        <v>31</v>
      </c>
      <c r="H45" s="6">
        <v>43.67207119951803</v>
      </c>
      <c r="I45" s="17" t="s">
        <v>484</v>
      </c>
      <c r="J45" s="1">
        <v>24</v>
      </c>
      <c r="K45" s="1">
        <v>23</v>
      </c>
      <c r="L45" s="1">
        <v>22</v>
      </c>
      <c r="M45" s="1">
        <v>21</v>
      </c>
      <c r="N45" s="1">
        <v>20</v>
      </c>
      <c r="O45" s="1">
        <v>19</v>
      </c>
      <c r="P45" s="1">
        <v>18</v>
      </c>
      <c r="Q45" s="1">
        <v>17</v>
      </c>
      <c r="R45" s="1">
        <v>16</v>
      </c>
      <c r="S45" s="1">
        <v>31</v>
      </c>
    </row>
    <row r="46" spans="6:22" x14ac:dyDescent="0.45">
      <c r="F46" s="1">
        <v>24</v>
      </c>
      <c r="G46" s="1">
        <v>33</v>
      </c>
      <c r="H46" s="6">
        <v>23.463614478474756</v>
      </c>
      <c r="I46" s="1" t="s">
        <v>419</v>
      </c>
      <c r="J46" s="1">
        <v>24</v>
      </c>
      <c r="K46" s="1">
        <v>23</v>
      </c>
      <c r="L46" s="1">
        <v>22</v>
      </c>
      <c r="M46" s="1">
        <v>21</v>
      </c>
      <c r="N46" s="1">
        <v>20</v>
      </c>
      <c r="O46" s="1">
        <v>19</v>
      </c>
      <c r="P46" s="1">
        <v>34</v>
      </c>
      <c r="Q46" s="1">
        <v>33</v>
      </c>
    </row>
    <row r="47" spans="6:22" x14ac:dyDescent="0.45">
      <c r="F47" s="1">
        <v>24</v>
      </c>
      <c r="G47" s="1">
        <v>30</v>
      </c>
      <c r="H47" s="6">
        <v>50.911576399404368</v>
      </c>
      <c r="I47" s="17" t="s">
        <v>464</v>
      </c>
      <c r="J47" s="1">
        <v>24</v>
      </c>
      <c r="K47" s="1">
        <v>23</v>
      </c>
      <c r="L47" s="1">
        <v>22</v>
      </c>
      <c r="M47" s="1">
        <v>21</v>
      </c>
      <c r="N47" s="1">
        <v>20</v>
      </c>
      <c r="O47" s="1">
        <v>19</v>
      </c>
      <c r="P47" s="1">
        <v>18</v>
      </c>
      <c r="Q47" s="1">
        <v>17</v>
      </c>
      <c r="R47" s="1">
        <v>16</v>
      </c>
      <c r="S47" s="1">
        <v>15</v>
      </c>
      <c r="T47" s="1">
        <v>30</v>
      </c>
    </row>
    <row r="48" spans="6:22" x14ac:dyDescent="0.45">
      <c r="F48" s="1">
        <v>24</v>
      </c>
      <c r="G48" s="1">
        <v>18</v>
      </c>
      <c r="H48" s="6">
        <v>20.361982352550324</v>
      </c>
      <c r="I48" s="17" t="s">
        <v>400</v>
      </c>
      <c r="J48" s="1">
        <v>24</v>
      </c>
      <c r="K48" s="1">
        <v>23</v>
      </c>
      <c r="L48" s="1">
        <v>22</v>
      </c>
      <c r="M48" s="1">
        <v>21</v>
      </c>
      <c r="N48" s="1">
        <v>20</v>
      </c>
      <c r="O48" s="1">
        <v>19</v>
      </c>
      <c r="P48" s="1">
        <v>18</v>
      </c>
    </row>
    <row r="49" spans="6:18" x14ac:dyDescent="0.45">
      <c r="F49" s="1">
        <v>24</v>
      </c>
      <c r="G49" s="1">
        <v>40</v>
      </c>
      <c r="H49" s="6">
        <v>14.421336272184394</v>
      </c>
      <c r="I49" s="16" t="s">
        <v>409</v>
      </c>
      <c r="J49" s="1">
        <v>24</v>
      </c>
      <c r="K49" s="1">
        <v>23</v>
      </c>
      <c r="L49" s="1">
        <v>38</v>
      </c>
      <c r="M49" s="1">
        <v>39</v>
      </c>
      <c r="N49" s="1">
        <v>40</v>
      </c>
    </row>
    <row r="50" spans="6:18" x14ac:dyDescent="0.45">
      <c r="F50" s="1">
        <v>21</v>
      </c>
      <c r="G50" s="1">
        <v>9</v>
      </c>
      <c r="H50" s="6">
        <v>14.665169151125106</v>
      </c>
      <c r="I50" s="16" t="s">
        <v>375</v>
      </c>
      <c r="J50" s="1">
        <v>21</v>
      </c>
      <c r="K50" s="1">
        <v>22</v>
      </c>
      <c r="L50" s="1">
        <v>23</v>
      </c>
      <c r="M50" s="1">
        <v>24</v>
      </c>
      <c r="N50" s="1">
        <v>9</v>
      </c>
    </row>
    <row r="51" spans="6:18" x14ac:dyDescent="0.45">
      <c r="F51" s="1">
        <v>21</v>
      </c>
      <c r="G51" s="1">
        <v>12</v>
      </c>
      <c r="H51" s="6">
        <v>27.24794089203726</v>
      </c>
      <c r="I51" s="18" t="s">
        <v>442</v>
      </c>
      <c r="J51" s="1">
        <v>21</v>
      </c>
      <c r="K51" s="1">
        <v>22</v>
      </c>
      <c r="L51" s="1">
        <v>23</v>
      </c>
      <c r="M51" s="1">
        <v>24</v>
      </c>
      <c r="N51" s="1">
        <v>9</v>
      </c>
      <c r="O51" s="1">
        <v>10</v>
      </c>
      <c r="P51" s="1">
        <v>11</v>
      </c>
      <c r="Q51" s="1">
        <v>12</v>
      </c>
    </row>
    <row r="52" spans="6:18" x14ac:dyDescent="0.45">
      <c r="F52" s="1">
        <v>21</v>
      </c>
      <c r="G52" s="1">
        <v>29</v>
      </c>
      <c r="H52" s="6">
        <v>46.097079972209464</v>
      </c>
      <c r="I52" s="16" t="s">
        <v>465</v>
      </c>
      <c r="J52" s="1">
        <v>21</v>
      </c>
      <c r="K52" s="1">
        <v>22</v>
      </c>
      <c r="L52" s="1">
        <v>23</v>
      </c>
      <c r="M52" s="1">
        <v>24</v>
      </c>
      <c r="N52" s="1">
        <v>25</v>
      </c>
      <c r="O52" s="1">
        <v>26</v>
      </c>
      <c r="P52" s="1">
        <v>27</v>
      </c>
      <c r="Q52" s="1">
        <v>28</v>
      </c>
      <c r="R52" s="1">
        <v>29</v>
      </c>
    </row>
    <row r="53" spans="6:18" x14ac:dyDescent="0.45">
      <c r="F53" s="1">
        <v>21</v>
      </c>
      <c r="G53" s="1">
        <v>24</v>
      </c>
      <c r="H53" s="6">
        <v>7.1352870716679009</v>
      </c>
      <c r="I53" s="18" t="s">
        <v>376</v>
      </c>
      <c r="J53" s="1">
        <v>21</v>
      </c>
      <c r="K53" s="1">
        <v>22</v>
      </c>
      <c r="L53" s="1">
        <v>23</v>
      </c>
      <c r="M53" s="1">
        <v>24</v>
      </c>
    </row>
    <row r="54" spans="6:18" x14ac:dyDescent="0.45">
      <c r="F54" s="1">
        <v>21</v>
      </c>
      <c r="G54" s="1">
        <v>21</v>
      </c>
      <c r="H54" s="6">
        <v>0</v>
      </c>
      <c r="I54" s="18" t="s">
        <v>364</v>
      </c>
      <c r="J54" s="1" t="s">
        <v>364</v>
      </c>
    </row>
    <row r="55" spans="6:18" x14ac:dyDescent="0.45">
      <c r="F55" s="1">
        <v>21</v>
      </c>
      <c r="G55" s="1">
        <v>42</v>
      </c>
      <c r="H55" s="6">
        <v>22.623635948342265</v>
      </c>
      <c r="I55" s="17" t="s">
        <v>485</v>
      </c>
      <c r="J55" s="1">
        <v>21</v>
      </c>
      <c r="K55" s="1">
        <v>22</v>
      </c>
      <c r="L55" s="1">
        <v>37</v>
      </c>
      <c r="M55" s="1">
        <v>44</v>
      </c>
      <c r="N55" s="1">
        <v>41</v>
      </c>
      <c r="O55" s="1">
        <v>42</v>
      </c>
    </row>
    <row r="56" spans="6:18" x14ac:dyDescent="0.45">
      <c r="F56" s="1">
        <v>21</v>
      </c>
      <c r="G56" s="1">
        <v>43</v>
      </c>
      <c r="H56" s="6">
        <v>22.762591313217559</v>
      </c>
      <c r="I56" s="18" t="s">
        <v>377</v>
      </c>
      <c r="J56" s="1">
        <v>21</v>
      </c>
      <c r="K56" s="1">
        <v>36</v>
      </c>
      <c r="L56" s="1">
        <v>43</v>
      </c>
    </row>
    <row r="57" spans="6:18" x14ac:dyDescent="0.45">
      <c r="F57" s="1">
        <v>21</v>
      </c>
      <c r="G57" s="1">
        <v>31</v>
      </c>
      <c r="H57" s="6">
        <v>36.508278259745957</v>
      </c>
      <c r="I57" s="17" t="s">
        <v>486</v>
      </c>
      <c r="J57" s="1">
        <v>21</v>
      </c>
      <c r="K57" s="1">
        <v>20</v>
      </c>
      <c r="L57" s="1">
        <v>19</v>
      </c>
      <c r="M57" s="1">
        <v>18</v>
      </c>
      <c r="N57" s="1">
        <v>17</v>
      </c>
      <c r="O57" s="1">
        <v>16</v>
      </c>
      <c r="P57" s="1">
        <v>31</v>
      </c>
    </row>
    <row r="58" spans="6:18" x14ac:dyDescent="0.45">
      <c r="F58" s="1">
        <v>21</v>
      </c>
      <c r="G58" s="1">
        <v>33</v>
      </c>
      <c r="H58" s="6">
        <v>16.29982153870268</v>
      </c>
      <c r="I58" s="18" t="s">
        <v>420</v>
      </c>
      <c r="J58" s="1">
        <v>21</v>
      </c>
      <c r="K58" s="1">
        <v>20</v>
      </c>
      <c r="L58" s="1">
        <v>19</v>
      </c>
      <c r="M58" s="1">
        <v>34</v>
      </c>
      <c r="N58" s="1">
        <v>33</v>
      </c>
    </row>
    <row r="59" spans="6:18" x14ac:dyDescent="0.45">
      <c r="F59" s="1">
        <v>21</v>
      </c>
      <c r="G59" s="1">
        <v>30</v>
      </c>
      <c r="H59" s="6">
        <v>43.747783459632295</v>
      </c>
      <c r="I59" s="16" t="s">
        <v>427</v>
      </c>
      <c r="J59" s="1">
        <v>21</v>
      </c>
      <c r="K59" s="1">
        <v>20</v>
      </c>
      <c r="L59" s="1">
        <v>19</v>
      </c>
      <c r="M59" s="1">
        <v>18</v>
      </c>
      <c r="N59" s="1">
        <v>17</v>
      </c>
      <c r="O59" s="1">
        <v>16</v>
      </c>
      <c r="P59" s="1">
        <v>15</v>
      </c>
      <c r="Q59" s="1">
        <v>30</v>
      </c>
    </row>
    <row r="60" spans="6:18" x14ac:dyDescent="0.45">
      <c r="F60" s="1">
        <v>21</v>
      </c>
      <c r="G60" s="1">
        <v>18</v>
      </c>
      <c r="H60" s="6">
        <v>13.198189412778248</v>
      </c>
      <c r="I60" s="16" t="s">
        <v>378</v>
      </c>
      <c r="J60" s="1">
        <v>21</v>
      </c>
      <c r="K60" s="1">
        <v>20</v>
      </c>
      <c r="L60" s="1">
        <v>19</v>
      </c>
      <c r="M60" s="1">
        <v>18</v>
      </c>
    </row>
    <row r="61" spans="6:18" x14ac:dyDescent="0.45">
      <c r="F61" s="1">
        <v>21</v>
      </c>
      <c r="G61" s="1">
        <v>40</v>
      </c>
      <c r="H61" s="6">
        <v>20.061905258247229</v>
      </c>
      <c r="I61" s="16" t="s">
        <v>436</v>
      </c>
      <c r="J61" s="1">
        <v>21</v>
      </c>
      <c r="K61" s="1">
        <v>22</v>
      </c>
      <c r="L61" s="1">
        <v>23</v>
      </c>
      <c r="M61" s="1">
        <v>38</v>
      </c>
      <c r="N61" s="1">
        <v>39</v>
      </c>
      <c r="O61" s="1">
        <v>40</v>
      </c>
    </row>
    <row r="62" spans="6:18" x14ac:dyDescent="0.45">
      <c r="F62" s="1">
        <v>42</v>
      </c>
      <c r="G62" s="1">
        <v>9</v>
      </c>
      <c r="H62" s="6">
        <v>33.144606432932655</v>
      </c>
      <c r="I62" s="16" t="s">
        <v>487</v>
      </c>
      <c r="J62" s="1">
        <v>42</v>
      </c>
      <c r="K62" s="1">
        <v>41</v>
      </c>
      <c r="L62" s="1">
        <v>44</v>
      </c>
      <c r="M62" s="1">
        <v>39</v>
      </c>
      <c r="N62" s="1">
        <v>38</v>
      </c>
      <c r="O62" s="1">
        <v>26</v>
      </c>
      <c r="P62" s="1">
        <v>25</v>
      </c>
      <c r="Q62" s="1">
        <v>10</v>
      </c>
      <c r="R62" s="1">
        <v>9</v>
      </c>
    </row>
    <row r="63" spans="6:18" x14ac:dyDescent="0.45">
      <c r="F63" s="1">
        <v>42</v>
      </c>
      <c r="G63" s="1">
        <v>12</v>
      </c>
      <c r="H63" s="6">
        <v>36.061627305825354</v>
      </c>
      <c r="I63" s="17" t="s">
        <v>413</v>
      </c>
      <c r="J63" s="1">
        <v>42</v>
      </c>
      <c r="K63" s="1">
        <v>41</v>
      </c>
      <c r="L63" s="1">
        <v>44</v>
      </c>
      <c r="M63" s="1">
        <v>39</v>
      </c>
      <c r="N63" s="1">
        <v>27</v>
      </c>
      <c r="O63" s="1">
        <v>12</v>
      </c>
    </row>
    <row r="64" spans="6:18" x14ac:dyDescent="0.45">
      <c r="F64" s="1">
        <v>42</v>
      </c>
      <c r="G64" s="1">
        <v>29</v>
      </c>
      <c r="H64" s="6">
        <v>46.252233329723495</v>
      </c>
      <c r="I64" s="1" t="s">
        <v>443</v>
      </c>
      <c r="J64" s="1">
        <v>42</v>
      </c>
      <c r="K64" s="1">
        <v>41</v>
      </c>
      <c r="L64" s="1">
        <v>40</v>
      </c>
      <c r="M64" s="1">
        <v>28</v>
      </c>
      <c r="N64" s="1">
        <v>29</v>
      </c>
    </row>
    <row r="65" spans="6:17" x14ac:dyDescent="0.45">
      <c r="F65" s="1">
        <v>42</v>
      </c>
      <c r="G65" s="1">
        <v>24</v>
      </c>
      <c r="H65" s="6">
        <v>26.480445181198583</v>
      </c>
      <c r="I65" s="17" t="s">
        <v>488</v>
      </c>
      <c r="J65" s="1">
        <v>42</v>
      </c>
      <c r="K65" s="1">
        <v>41</v>
      </c>
      <c r="L65" s="1">
        <v>44</v>
      </c>
      <c r="M65" s="1">
        <v>37</v>
      </c>
      <c r="N65" s="1">
        <v>22</v>
      </c>
      <c r="O65" s="1">
        <v>23</v>
      </c>
      <c r="P65" s="1">
        <v>24</v>
      </c>
    </row>
    <row r="66" spans="6:17" x14ac:dyDescent="0.45">
      <c r="F66" s="1">
        <v>42</v>
      </c>
      <c r="G66" s="1">
        <v>21</v>
      </c>
      <c r="H66" s="6">
        <v>22.546248590989407</v>
      </c>
      <c r="I66" s="16" t="s">
        <v>489</v>
      </c>
      <c r="J66" s="1">
        <v>42</v>
      </c>
      <c r="K66" s="1">
        <v>41</v>
      </c>
      <c r="L66" s="1">
        <v>44</v>
      </c>
      <c r="M66" s="1">
        <v>37</v>
      </c>
      <c r="N66" s="1">
        <v>22</v>
      </c>
      <c r="O66" s="1">
        <v>21</v>
      </c>
    </row>
    <row r="67" spans="6:17" x14ac:dyDescent="0.45">
      <c r="F67" s="1">
        <v>42</v>
      </c>
      <c r="G67" s="1">
        <v>42</v>
      </c>
      <c r="H67" s="6">
        <v>0</v>
      </c>
      <c r="I67" s="16" t="s">
        <v>364</v>
      </c>
      <c r="J67" s="1" t="s">
        <v>364</v>
      </c>
    </row>
    <row r="68" spans="6:17" x14ac:dyDescent="0.45">
      <c r="F68" s="1">
        <v>42</v>
      </c>
      <c r="G68" s="1">
        <v>43</v>
      </c>
      <c r="H68" s="6">
        <v>5.6132742384836645</v>
      </c>
      <c r="I68" s="1" t="s">
        <v>379</v>
      </c>
      <c r="J68" s="1">
        <v>42</v>
      </c>
      <c r="K68" s="1">
        <v>43</v>
      </c>
    </row>
    <row r="69" spans="6:17" x14ac:dyDescent="0.45">
      <c r="F69" s="1">
        <v>42</v>
      </c>
      <c r="G69" s="1">
        <v>31</v>
      </c>
      <c r="H69" s="6">
        <v>53.197359438670773</v>
      </c>
      <c r="I69" s="18" t="s">
        <v>450</v>
      </c>
      <c r="J69" s="1">
        <v>42</v>
      </c>
      <c r="K69" s="1">
        <v>33</v>
      </c>
      <c r="L69" s="1">
        <v>32</v>
      </c>
      <c r="M69" s="1">
        <v>31</v>
      </c>
    </row>
    <row r="70" spans="6:17" x14ac:dyDescent="0.45">
      <c r="F70" s="1">
        <v>42</v>
      </c>
      <c r="G70" s="1">
        <v>33</v>
      </c>
      <c r="H70" s="6">
        <v>29.905162063092462</v>
      </c>
      <c r="I70" s="16" t="s">
        <v>380</v>
      </c>
      <c r="J70" s="1">
        <v>42</v>
      </c>
      <c r="K70" s="1">
        <v>33</v>
      </c>
    </row>
    <row r="71" spans="6:17" x14ac:dyDescent="0.45">
      <c r="F71" s="1">
        <v>42</v>
      </c>
      <c r="G71" s="1">
        <v>30</v>
      </c>
      <c r="H71" s="6">
        <v>63.584130959919129</v>
      </c>
      <c r="I71" s="17" t="s">
        <v>466</v>
      </c>
      <c r="J71" s="1">
        <v>42</v>
      </c>
      <c r="K71" s="1">
        <v>33</v>
      </c>
      <c r="L71" s="1">
        <v>32</v>
      </c>
      <c r="M71" s="1">
        <v>17</v>
      </c>
      <c r="N71" s="1">
        <v>16</v>
      </c>
      <c r="O71" s="1">
        <v>15</v>
      </c>
      <c r="P71" s="1">
        <v>30</v>
      </c>
    </row>
    <row r="72" spans="6:17" x14ac:dyDescent="0.45">
      <c r="F72" s="1">
        <v>42</v>
      </c>
      <c r="G72" s="1">
        <v>18</v>
      </c>
      <c r="H72" s="6">
        <v>34.587552385240635</v>
      </c>
      <c r="I72" s="16" t="s">
        <v>381</v>
      </c>
      <c r="J72" s="1">
        <v>42</v>
      </c>
      <c r="K72" s="1">
        <v>33</v>
      </c>
      <c r="L72" s="1">
        <v>18</v>
      </c>
    </row>
    <row r="73" spans="6:17" x14ac:dyDescent="0.45">
      <c r="F73" s="1">
        <v>42</v>
      </c>
      <c r="G73" s="1">
        <v>40</v>
      </c>
      <c r="H73" s="6">
        <v>16.100426171263507</v>
      </c>
      <c r="I73" s="18" t="s">
        <v>382</v>
      </c>
      <c r="J73" s="1">
        <v>42</v>
      </c>
      <c r="K73" s="1">
        <v>41</v>
      </c>
      <c r="L73" s="1">
        <v>40</v>
      </c>
    </row>
    <row r="74" spans="6:17" x14ac:dyDescent="0.45">
      <c r="F74" s="1">
        <v>43</v>
      </c>
      <c r="G74" s="1">
        <v>9</v>
      </c>
      <c r="H74" s="6">
        <v>33.785645184364164</v>
      </c>
      <c r="I74" s="17" t="s">
        <v>490</v>
      </c>
      <c r="J74" s="1">
        <v>43</v>
      </c>
      <c r="K74" s="1">
        <v>44</v>
      </c>
      <c r="L74" s="1">
        <v>39</v>
      </c>
      <c r="M74" s="1">
        <v>38</v>
      </c>
      <c r="N74" s="1">
        <v>26</v>
      </c>
      <c r="O74" s="1">
        <v>25</v>
      </c>
      <c r="P74" s="1">
        <v>10</v>
      </c>
      <c r="Q74" s="1">
        <v>9</v>
      </c>
    </row>
    <row r="75" spans="6:17" x14ac:dyDescent="0.45">
      <c r="F75" s="1">
        <v>43</v>
      </c>
      <c r="G75" s="1">
        <v>12</v>
      </c>
      <c r="H75" s="6">
        <v>36.702666057256863</v>
      </c>
      <c r="I75" s="18" t="s">
        <v>383</v>
      </c>
      <c r="J75" s="1">
        <v>43</v>
      </c>
      <c r="K75" s="1">
        <v>44</v>
      </c>
      <c r="L75" s="1">
        <v>39</v>
      </c>
      <c r="M75" s="1">
        <v>27</v>
      </c>
      <c r="N75" s="1">
        <v>12</v>
      </c>
    </row>
    <row r="76" spans="6:17" x14ac:dyDescent="0.45">
      <c r="F76" s="1">
        <v>43</v>
      </c>
      <c r="G76" s="1">
        <v>29</v>
      </c>
      <c r="H76" s="6">
        <v>51.235822771967563</v>
      </c>
      <c r="I76" s="18" t="s">
        <v>414</v>
      </c>
      <c r="J76" s="1">
        <v>43</v>
      </c>
      <c r="K76" s="1">
        <v>44</v>
      </c>
      <c r="L76" s="1">
        <v>39</v>
      </c>
      <c r="M76" s="1">
        <v>27</v>
      </c>
      <c r="N76" s="1">
        <v>28</v>
      </c>
      <c r="O76" s="1">
        <v>29</v>
      </c>
    </row>
    <row r="77" spans="6:17" x14ac:dyDescent="0.45">
      <c r="F77" s="1">
        <v>43</v>
      </c>
      <c r="G77" s="1">
        <v>24</v>
      </c>
      <c r="H77" s="6">
        <v>26.600654887106238</v>
      </c>
      <c r="I77" s="16" t="s">
        <v>491</v>
      </c>
      <c r="J77" s="1">
        <v>43</v>
      </c>
      <c r="K77" s="1">
        <v>36</v>
      </c>
      <c r="L77" s="1">
        <v>37</v>
      </c>
      <c r="M77" s="1">
        <v>22</v>
      </c>
      <c r="N77" s="1">
        <v>23</v>
      </c>
      <c r="O77" s="1">
        <v>24</v>
      </c>
    </row>
    <row r="78" spans="6:17" x14ac:dyDescent="0.45">
      <c r="F78" s="1">
        <v>43</v>
      </c>
      <c r="G78" s="1">
        <v>21</v>
      </c>
      <c r="H78" s="6">
        <v>20.789015228999375</v>
      </c>
      <c r="I78" s="18" t="s">
        <v>384</v>
      </c>
      <c r="J78" s="1">
        <v>43</v>
      </c>
      <c r="K78" s="1">
        <v>36</v>
      </c>
      <c r="L78" s="1">
        <v>21</v>
      </c>
    </row>
    <row r="79" spans="6:17" x14ac:dyDescent="0.45">
      <c r="F79" s="1">
        <v>43</v>
      </c>
      <c r="G79" s="1">
        <v>42</v>
      </c>
      <c r="H79" s="6">
        <v>6.1734896934511987</v>
      </c>
      <c r="I79" s="18" t="s">
        <v>385</v>
      </c>
      <c r="J79" s="1">
        <v>43</v>
      </c>
      <c r="K79" s="1">
        <v>42</v>
      </c>
    </row>
    <row r="80" spans="6:17" x14ac:dyDescent="0.45">
      <c r="F80" s="1">
        <v>43</v>
      </c>
      <c r="G80" s="1">
        <v>43</v>
      </c>
      <c r="H80" s="6">
        <v>0</v>
      </c>
      <c r="I80" s="16" t="s">
        <v>364</v>
      </c>
      <c r="J80" s="1" t="s">
        <v>364</v>
      </c>
    </row>
    <row r="81" spans="6:19" x14ac:dyDescent="0.45">
      <c r="F81" s="1">
        <v>43</v>
      </c>
      <c r="G81" s="1">
        <v>31</v>
      </c>
      <c r="H81" s="6">
        <v>56.440560295872544</v>
      </c>
      <c r="I81" s="18" t="s">
        <v>453</v>
      </c>
      <c r="J81" s="1">
        <v>43</v>
      </c>
      <c r="K81" s="1">
        <v>36</v>
      </c>
      <c r="L81" s="1">
        <v>35</v>
      </c>
      <c r="M81" s="1">
        <v>34</v>
      </c>
      <c r="N81" s="1">
        <v>33</v>
      </c>
      <c r="O81" s="1">
        <v>32</v>
      </c>
      <c r="P81" s="1">
        <v>31</v>
      </c>
    </row>
    <row r="82" spans="6:19" x14ac:dyDescent="0.45">
      <c r="F82" s="1">
        <v>43</v>
      </c>
      <c r="G82" s="1">
        <v>33</v>
      </c>
      <c r="H82" s="6">
        <v>33.148362920294225</v>
      </c>
      <c r="I82" s="18" t="s">
        <v>421</v>
      </c>
      <c r="J82" s="1">
        <v>43</v>
      </c>
      <c r="K82" s="1">
        <v>36</v>
      </c>
      <c r="L82" s="1">
        <v>35</v>
      </c>
      <c r="M82" s="1">
        <v>34</v>
      </c>
      <c r="N82" s="1">
        <v>33</v>
      </c>
    </row>
    <row r="83" spans="6:19" x14ac:dyDescent="0.45">
      <c r="F83" s="1">
        <v>43</v>
      </c>
      <c r="G83" s="1">
        <v>30</v>
      </c>
      <c r="H83" s="6">
        <v>64.536798688631677</v>
      </c>
      <c r="I83" s="18" t="s">
        <v>492</v>
      </c>
      <c r="J83" s="1">
        <v>43</v>
      </c>
      <c r="K83" s="1">
        <v>36</v>
      </c>
      <c r="L83" s="1">
        <v>21</v>
      </c>
      <c r="M83" s="1">
        <v>20</v>
      </c>
      <c r="N83" s="1">
        <v>19</v>
      </c>
      <c r="O83" s="1">
        <v>18</v>
      </c>
      <c r="P83" s="1">
        <v>17</v>
      </c>
      <c r="Q83" s="1">
        <v>16</v>
      </c>
      <c r="R83" s="1">
        <v>15</v>
      </c>
      <c r="S83" s="1">
        <v>30</v>
      </c>
    </row>
    <row r="84" spans="6:19" x14ac:dyDescent="0.45">
      <c r="F84" s="1">
        <v>43</v>
      </c>
      <c r="G84" s="1">
        <v>18</v>
      </c>
      <c r="H84" s="6">
        <v>33.987204641777623</v>
      </c>
      <c r="I84" s="16" t="s">
        <v>454</v>
      </c>
      <c r="J84" s="1">
        <v>43</v>
      </c>
      <c r="K84" s="1">
        <v>36</v>
      </c>
      <c r="L84" s="1">
        <v>21</v>
      </c>
      <c r="M84" s="1">
        <v>20</v>
      </c>
      <c r="N84" s="1">
        <v>19</v>
      </c>
      <c r="O84" s="1">
        <v>18</v>
      </c>
    </row>
    <row r="85" spans="6:19" x14ac:dyDescent="0.45">
      <c r="F85" s="1">
        <v>43</v>
      </c>
      <c r="G85" s="1">
        <v>40</v>
      </c>
      <c r="H85" s="6">
        <v>21.194451891259142</v>
      </c>
      <c r="I85" s="1" t="s">
        <v>415</v>
      </c>
      <c r="J85" s="1">
        <v>43</v>
      </c>
      <c r="K85" s="1">
        <v>44</v>
      </c>
      <c r="L85" s="1">
        <v>39</v>
      </c>
      <c r="M85" s="1">
        <v>40</v>
      </c>
    </row>
    <row r="86" spans="6:19" x14ac:dyDescent="0.45">
      <c r="F86" s="1">
        <v>31</v>
      </c>
      <c r="G86" s="1">
        <v>9</v>
      </c>
      <c r="H86" s="6">
        <v>42.211219217910703</v>
      </c>
      <c r="I86" s="18" t="s">
        <v>422</v>
      </c>
      <c r="J86" s="1">
        <v>31</v>
      </c>
      <c r="K86" s="1">
        <v>16</v>
      </c>
      <c r="L86" s="1">
        <v>15</v>
      </c>
      <c r="M86" s="1">
        <v>14</v>
      </c>
      <c r="N86" s="1">
        <v>13</v>
      </c>
      <c r="O86" s="1">
        <v>12</v>
      </c>
      <c r="P86" s="1">
        <v>11</v>
      </c>
      <c r="Q86" s="1">
        <v>10</v>
      </c>
      <c r="R86" s="1">
        <v>9</v>
      </c>
    </row>
    <row r="87" spans="6:19" x14ac:dyDescent="0.45">
      <c r="F87" s="1">
        <v>31</v>
      </c>
      <c r="G87" s="1">
        <v>12</v>
      </c>
      <c r="H87" s="6">
        <v>29.688651661777172</v>
      </c>
      <c r="I87" s="16" t="s">
        <v>423</v>
      </c>
      <c r="J87" s="1">
        <v>31</v>
      </c>
      <c r="K87" s="1">
        <v>16</v>
      </c>
      <c r="L87" s="1">
        <v>15</v>
      </c>
      <c r="M87" s="1">
        <v>14</v>
      </c>
      <c r="N87" s="1">
        <v>13</v>
      </c>
      <c r="O87" s="1">
        <v>12</v>
      </c>
    </row>
    <row r="88" spans="6:19" x14ac:dyDescent="0.45">
      <c r="F88" s="1">
        <v>31</v>
      </c>
      <c r="G88" s="1">
        <v>29</v>
      </c>
      <c r="H88" s="6">
        <v>40.162800097932433</v>
      </c>
      <c r="I88" s="16" t="s">
        <v>444</v>
      </c>
      <c r="J88" s="1">
        <v>31</v>
      </c>
      <c r="K88" s="1">
        <v>30</v>
      </c>
      <c r="L88" s="1">
        <v>29</v>
      </c>
    </row>
    <row r="89" spans="6:19" x14ac:dyDescent="0.45">
      <c r="F89" s="1">
        <v>31</v>
      </c>
      <c r="G89" s="1">
        <v>24</v>
      </c>
      <c r="H89" s="6">
        <v>43.420267044978011</v>
      </c>
      <c r="I89" s="16" t="s">
        <v>493</v>
      </c>
      <c r="J89" s="1">
        <v>31</v>
      </c>
      <c r="K89" s="1">
        <v>16</v>
      </c>
      <c r="L89" s="1">
        <v>17</v>
      </c>
      <c r="M89" s="1">
        <v>18</v>
      </c>
      <c r="N89" s="1">
        <v>19</v>
      </c>
      <c r="O89" s="1">
        <v>20</v>
      </c>
      <c r="P89" s="1">
        <v>21</v>
      </c>
      <c r="Q89" s="1">
        <v>22</v>
      </c>
      <c r="R89" s="1">
        <v>23</v>
      </c>
      <c r="S89" s="1">
        <v>24</v>
      </c>
    </row>
    <row r="90" spans="6:19" x14ac:dyDescent="0.45">
      <c r="F90" s="1">
        <v>31</v>
      </c>
      <c r="G90" s="1">
        <v>21</v>
      </c>
      <c r="H90" s="6">
        <v>36.284979973310115</v>
      </c>
      <c r="I90" s="1" t="s">
        <v>494</v>
      </c>
      <c r="J90" s="1">
        <v>31</v>
      </c>
      <c r="K90" s="1">
        <v>16</v>
      </c>
      <c r="L90" s="1">
        <v>17</v>
      </c>
      <c r="M90" s="1">
        <v>18</v>
      </c>
      <c r="N90" s="1">
        <v>19</v>
      </c>
      <c r="O90" s="1">
        <v>20</v>
      </c>
      <c r="P90" s="1">
        <v>21</v>
      </c>
    </row>
    <row r="91" spans="6:19" x14ac:dyDescent="0.45">
      <c r="F91" s="1">
        <v>31</v>
      </c>
      <c r="G91" s="1">
        <v>42</v>
      </c>
      <c r="H91" s="6">
        <v>52.726994559324346</v>
      </c>
      <c r="I91" s="18" t="s">
        <v>451</v>
      </c>
      <c r="J91" s="1">
        <v>31</v>
      </c>
      <c r="K91" s="1">
        <v>32</v>
      </c>
      <c r="L91" s="1">
        <v>33</v>
      </c>
      <c r="M91" s="1">
        <v>42</v>
      </c>
    </row>
    <row r="92" spans="6:19" x14ac:dyDescent="0.45">
      <c r="F92" s="1">
        <v>31</v>
      </c>
      <c r="G92" s="1">
        <v>43</v>
      </c>
      <c r="H92" s="6">
        <v>58.340268797808008</v>
      </c>
      <c r="I92" s="17" t="s">
        <v>452</v>
      </c>
      <c r="J92" s="1">
        <v>31</v>
      </c>
      <c r="K92" s="1">
        <v>32</v>
      </c>
      <c r="L92" s="1">
        <v>33</v>
      </c>
      <c r="M92" s="1">
        <v>42</v>
      </c>
      <c r="N92" s="1">
        <v>43</v>
      </c>
    </row>
    <row r="93" spans="6:19" x14ac:dyDescent="0.45">
      <c r="F93" s="1">
        <v>31</v>
      </c>
      <c r="G93" s="1">
        <v>31</v>
      </c>
      <c r="H93" s="6">
        <v>0</v>
      </c>
      <c r="I93" s="16" t="s">
        <v>364</v>
      </c>
      <c r="J93" s="1" t="s">
        <v>364</v>
      </c>
    </row>
    <row r="94" spans="6:19" x14ac:dyDescent="0.45">
      <c r="F94" s="1">
        <v>31</v>
      </c>
      <c r="G94" s="1">
        <v>33</v>
      </c>
      <c r="H94" s="6">
        <v>25.060074641141242</v>
      </c>
      <c r="I94" s="16" t="s">
        <v>445</v>
      </c>
      <c r="J94" s="1">
        <v>31</v>
      </c>
      <c r="K94" s="1">
        <v>32</v>
      </c>
      <c r="L94" s="1">
        <v>33</v>
      </c>
    </row>
    <row r="95" spans="6:19" x14ac:dyDescent="0.45">
      <c r="F95" s="1">
        <v>31</v>
      </c>
      <c r="G95" s="1">
        <v>30</v>
      </c>
      <c r="H95" s="6">
        <v>11.730785760209594</v>
      </c>
      <c r="I95" s="18" t="s">
        <v>401</v>
      </c>
      <c r="J95" s="1">
        <v>31</v>
      </c>
      <c r="K95" s="1">
        <v>30</v>
      </c>
    </row>
    <row r="96" spans="6:19" x14ac:dyDescent="0.45">
      <c r="F96" s="1">
        <v>31</v>
      </c>
      <c r="G96" s="1">
        <v>18</v>
      </c>
      <c r="H96" s="6">
        <v>23.096295814178596</v>
      </c>
      <c r="I96" s="16" t="s">
        <v>495</v>
      </c>
      <c r="J96" s="1">
        <v>31</v>
      </c>
      <c r="K96" s="1">
        <v>16</v>
      </c>
      <c r="L96" s="1">
        <v>17</v>
      </c>
      <c r="M96" s="1">
        <v>18</v>
      </c>
    </row>
    <row r="97" spans="6:21" x14ac:dyDescent="0.45">
      <c r="F97" s="1">
        <v>31</v>
      </c>
      <c r="G97" s="1">
        <v>40</v>
      </c>
      <c r="H97" s="6">
        <v>51.896834303003217</v>
      </c>
      <c r="I97" s="17" t="s">
        <v>455</v>
      </c>
      <c r="J97" s="1">
        <v>31</v>
      </c>
      <c r="K97" s="1">
        <v>16</v>
      </c>
      <c r="L97" s="1">
        <v>15</v>
      </c>
      <c r="M97" s="1">
        <v>14</v>
      </c>
      <c r="N97" s="1">
        <v>13</v>
      </c>
      <c r="O97" s="1">
        <v>12</v>
      </c>
      <c r="P97" s="1">
        <v>27</v>
      </c>
      <c r="Q97" s="1">
        <v>39</v>
      </c>
      <c r="R97" s="1">
        <v>40</v>
      </c>
    </row>
    <row r="98" spans="6:21" x14ac:dyDescent="0.45">
      <c r="F98" s="1">
        <v>33</v>
      </c>
      <c r="G98" s="1">
        <v>9</v>
      </c>
      <c r="H98" s="6">
        <v>31.046973014747817</v>
      </c>
      <c r="I98" s="18" t="s">
        <v>424</v>
      </c>
      <c r="J98" s="1">
        <v>33</v>
      </c>
      <c r="K98" s="1">
        <v>34</v>
      </c>
      <c r="L98" s="1">
        <v>19</v>
      </c>
      <c r="M98" s="1">
        <v>20</v>
      </c>
      <c r="N98" s="1">
        <v>21</v>
      </c>
      <c r="O98" s="1">
        <v>22</v>
      </c>
      <c r="P98" s="1">
        <v>23</v>
      </c>
      <c r="Q98" s="1">
        <v>24</v>
      </c>
      <c r="R98" s="1">
        <v>9</v>
      </c>
    </row>
    <row r="99" spans="6:21" x14ac:dyDescent="0.45">
      <c r="F99" s="1">
        <v>33</v>
      </c>
      <c r="G99" s="1">
        <v>12</v>
      </c>
      <c r="H99" s="6">
        <v>43.629744755659964</v>
      </c>
      <c r="I99" s="18" t="s">
        <v>496</v>
      </c>
      <c r="J99" s="1">
        <v>33</v>
      </c>
      <c r="K99" s="1">
        <v>34</v>
      </c>
      <c r="L99" s="1">
        <v>19</v>
      </c>
      <c r="M99" s="1">
        <v>20</v>
      </c>
      <c r="N99" s="1">
        <v>21</v>
      </c>
      <c r="O99" s="1">
        <v>22</v>
      </c>
      <c r="P99" s="1">
        <v>23</v>
      </c>
      <c r="Q99" s="1">
        <v>24</v>
      </c>
      <c r="R99" s="1">
        <v>9</v>
      </c>
      <c r="S99" s="1">
        <v>10</v>
      </c>
      <c r="T99" s="1">
        <v>11</v>
      </c>
      <c r="U99" s="1">
        <v>12</v>
      </c>
    </row>
    <row r="100" spans="6:21" x14ac:dyDescent="0.45">
      <c r="F100" s="1">
        <v>33</v>
      </c>
      <c r="G100" s="1">
        <v>29</v>
      </c>
      <c r="H100" s="6">
        <v>62.110983234549508</v>
      </c>
      <c r="I100" s="18" t="s">
        <v>497</v>
      </c>
      <c r="J100" s="1">
        <v>33</v>
      </c>
      <c r="K100" s="1">
        <v>32</v>
      </c>
      <c r="L100" s="1">
        <v>17</v>
      </c>
      <c r="M100" s="1">
        <v>16</v>
      </c>
      <c r="N100" s="1">
        <v>15</v>
      </c>
      <c r="O100" s="1">
        <v>30</v>
      </c>
      <c r="P100" s="1">
        <v>29</v>
      </c>
    </row>
    <row r="101" spans="6:21" x14ac:dyDescent="0.45">
      <c r="F101" s="1">
        <v>33</v>
      </c>
      <c r="G101" s="1">
        <v>24</v>
      </c>
      <c r="H101" s="6">
        <v>23.517090935290611</v>
      </c>
      <c r="I101" s="17" t="s">
        <v>425</v>
      </c>
      <c r="J101" s="1">
        <v>33</v>
      </c>
      <c r="K101" s="1">
        <v>34</v>
      </c>
      <c r="L101" s="1">
        <v>19</v>
      </c>
      <c r="M101" s="1">
        <v>20</v>
      </c>
      <c r="N101" s="1">
        <v>21</v>
      </c>
      <c r="O101" s="1">
        <v>22</v>
      </c>
      <c r="P101" s="1">
        <v>23</v>
      </c>
      <c r="Q101" s="1">
        <v>24</v>
      </c>
    </row>
    <row r="102" spans="6:21" x14ac:dyDescent="0.45">
      <c r="F102" s="1">
        <v>33</v>
      </c>
      <c r="G102" s="1">
        <v>21</v>
      </c>
      <c r="H102" s="6">
        <v>16.381803863622707</v>
      </c>
      <c r="I102" s="18" t="s">
        <v>426</v>
      </c>
      <c r="J102" s="1">
        <v>33</v>
      </c>
      <c r="K102" s="1">
        <v>34</v>
      </c>
      <c r="L102" s="1">
        <v>19</v>
      </c>
      <c r="M102" s="1">
        <v>20</v>
      </c>
      <c r="N102" s="1">
        <v>21</v>
      </c>
    </row>
    <row r="103" spans="6:21" x14ac:dyDescent="0.45">
      <c r="F103" s="1">
        <v>33</v>
      </c>
      <c r="G103" s="1">
        <v>42</v>
      </c>
      <c r="H103" s="6">
        <v>27.666919918183105</v>
      </c>
      <c r="I103" s="18" t="s">
        <v>386</v>
      </c>
      <c r="J103" s="1">
        <v>33</v>
      </c>
      <c r="K103" s="1">
        <v>42</v>
      </c>
    </row>
    <row r="104" spans="6:21" x14ac:dyDescent="0.45">
      <c r="F104" s="1">
        <v>33</v>
      </c>
      <c r="G104" s="1">
        <v>43</v>
      </c>
      <c r="H104" s="6">
        <v>33.280194156666767</v>
      </c>
      <c r="I104" s="16" t="s">
        <v>446</v>
      </c>
      <c r="J104" s="1">
        <v>33</v>
      </c>
      <c r="K104" s="1">
        <v>42</v>
      </c>
      <c r="L104" s="1">
        <v>43</v>
      </c>
    </row>
    <row r="105" spans="6:21" x14ac:dyDescent="0.45">
      <c r="F105" s="1">
        <v>33</v>
      </c>
      <c r="G105" s="1">
        <v>31</v>
      </c>
      <c r="H105" s="6">
        <v>23.292197375578311</v>
      </c>
      <c r="I105" s="16" t="s">
        <v>447</v>
      </c>
      <c r="J105" s="1">
        <v>33</v>
      </c>
      <c r="K105" s="1">
        <v>32</v>
      </c>
      <c r="L105" s="1">
        <v>31</v>
      </c>
    </row>
    <row r="106" spans="6:21" x14ac:dyDescent="0.45">
      <c r="F106" s="1">
        <v>33</v>
      </c>
      <c r="G106" s="1">
        <v>33</v>
      </c>
      <c r="H106" s="6">
        <v>0</v>
      </c>
      <c r="I106" s="1" t="s">
        <v>364</v>
      </c>
      <c r="J106" s="1" t="s">
        <v>364</v>
      </c>
    </row>
    <row r="107" spans="6:21" x14ac:dyDescent="0.45">
      <c r="F107" s="1">
        <v>33</v>
      </c>
      <c r="G107" s="1">
        <v>30</v>
      </c>
      <c r="H107" s="6">
        <v>33.678968896826667</v>
      </c>
      <c r="I107" s="17" t="s">
        <v>467</v>
      </c>
      <c r="J107" s="1">
        <v>33</v>
      </c>
      <c r="K107" s="1">
        <v>32</v>
      </c>
      <c r="L107" s="1">
        <v>17</v>
      </c>
      <c r="M107" s="1">
        <v>16</v>
      </c>
      <c r="N107" s="1">
        <v>15</v>
      </c>
      <c r="O107" s="1">
        <v>30</v>
      </c>
    </row>
    <row r="108" spans="6:21" x14ac:dyDescent="0.45">
      <c r="F108" s="1">
        <v>33</v>
      </c>
      <c r="G108" s="1">
        <v>18</v>
      </c>
      <c r="H108" s="6">
        <v>4.6823903221481737</v>
      </c>
      <c r="I108" s="17" t="s">
        <v>387</v>
      </c>
      <c r="J108" s="1">
        <v>33</v>
      </c>
      <c r="K108" s="1">
        <v>18</v>
      </c>
    </row>
    <row r="109" spans="6:21" x14ac:dyDescent="0.45">
      <c r="F109" s="1">
        <v>33</v>
      </c>
      <c r="G109" s="1">
        <v>40</v>
      </c>
      <c r="H109" s="6">
        <v>36.443709121869936</v>
      </c>
      <c r="I109" s="16" t="s">
        <v>498</v>
      </c>
      <c r="J109" s="1">
        <v>33</v>
      </c>
      <c r="K109" s="1">
        <v>34</v>
      </c>
      <c r="L109" s="1">
        <v>19</v>
      </c>
      <c r="M109" s="1">
        <v>20</v>
      </c>
      <c r="N109" s="1">
        <v>21</v>
      </c>
      <c r="O109" s="1">
        <v>22</v>
      </c>
      <c r="P109" s="1">
        <v>23</v>
      </c>
      <c r="Q109" s="1">
        <v>38</v>
      </c>
      <c r="R109" s="1">
        <v>39</v>
      </c>
      <c r="S109" s="1">
        <v>40</v>
      </c>
    </row>
    <row r="110" spans="6:21" x14ac:dyDescent="0.45">
      <c r="F110" s="1">
        <v>30</v>
      </c>
      <c r="G110" s="1">
        <v>9</v>
      </c>
      <c r="H110" s="6">
        <v>43.924267501335109</v>
      </c>
      <c r="I110" s="17" t="s">
        <v>468</v>
      </c>
      <c r="J110" s="1">
        <v>30</v>
      </c>
      <c r="K110" s="1">
        <v>15</v>
      </c>
      <c r="L110" s="1">
        <v>14</v>
      </c>
      <c r="M110" s="1">
        <v>13</v>
      </c>
      <c r="N110" s="1">
        <v>12</v>
      </c>
      <c r="O110" s="1">
        <v>11</v>
      </c>
      <c r="P110" s="1">
        <v>10</v>
      </c>
      <c r="Q110" s="1">
        <v>9</v>
      </c>
    </row>
    <row r="111" spans="6:21" x14ac:dyDescent="0.45">
      <c r="F111" s="1">
        <v>30</v>
      </c>
      <c r="G111" s="1">
        <v>12</v>
      </c>
      <c r="H111" s="6">
        <v>31.401699945201578</v>
      </c>
      <c r="I111" s="16" t="s">
        <v>469</v>
      </c>
      <c r="J111" s="1">
        <v>30</v>
      </c>
      <c r="K111" s="1">
        <v>15</v>
      </c>
      <c r="L111" s="1">
        <v>14</v>
      </c>
      <c r="M111" s="1">
        <v>13</v>
      </c>
      <c r="N111" s="1">
        <v>12</v>
      </c>
    </row>
    <row r="112" spans="6:21" x14ac:dyDescent="0.45">
      <c r="F112" s="1">
        <v>30</v>
      </c>
      <c r="G112" s="1">
        <v>29</v>
      </c>
      <c r="H112" s="6">
        <v>28.43201433772284</v>
      </c>
      <c r="I112" s="1" t="s">
        <v>388</v>
      </c>
      <c r="J112" s="1">
        <v>30</v>
      </c>
      <c r="K112" s="1">
        <v>29</v>
      </c>
    </row>
    <row r="113" spans="6:20" x14ac:dyDescent="0.45">
      <c r="F113" s="1">
        <v>30</v>
      </c>
      <c r="G113" s="1">
        <v>24</v>
      </c>
      <c r="H113" s="6">
        <v>50.727050491940986</v>
      </c>
      <c r="I113" s="16" t="s">
        <v>470</v>
      </c>
      <c r="J113" s="1">
        <v>30</v>
      </c>
      <c r="K113" s="1">
        <v>15</v>
      </c>
      <c r="L113" s="1">
        <v>16</v>
      </c>
      <c r="M113" s="1">
        <v>17</v>
      </c>
      <c r="N113" s="1">
        <v>18</v>
      </c>
      <c r="O113" s="1">
        <v>19</v>
      </c>
      <c r="P113" s="1">
        <v>20</v>
      </c>
      <c r="Q113" s="1">
        <v>21</v>
      </c>
      <c r="R113" s="1">
        <v>22</v>
      </c>
      <c r="S113" s="1">
        <v>23</v>
      </c>
      <c r="T113" s="1">
        <v>24</v>
      </c>
    </row>
    <row r="114" spans="6:20" x14ac:dyDescent="0.45">
      <c r="F114" s="1">
        <v>30</v>
      </c>
      <c r="G114" s="1">
        <v>21</v>
      </c>
      <c r="H114" s="6">
        <v>43.591763420273089</v>
      </c>
      <c r="I114" s="17" t="s">
        <v>428</v>
      </c>
      <c r="J114" s="1">
        <v>30</v>
      </c>
      <c r="K114" s="1">
        <v>15</v>
      </c>
      <c r="L114" s="1">
        <v>16</v>
      </c>
      <c r="M114" s="1">
        <v>17</v>
      </c>
      <c r="N114" s="1">
        <v>18</v>
      </c>
      <c r="O114" s="1">
        <v>19</v>
      </c>
      <c r="P114" s="1">
        <v>20</v>
      </c>
      <c r="Q114" s="1">
        <v>21</v>
      </c>
    </row>
    <row r="115" spans="6:20" x14ac:dyDescent="0.45">
      <c r="F115" s="1">
        <v>30</v>
      </c>
      <c r="G115" s="1">
        <v>42</v>
      </c>
      <c r="H115" s="6">
        <v>62.587636917354438</v>
      </c>
      <c r="I115" s="17" t="s">
        <v>429</v>
      </c>
      <c r="J115" s="1">
        <v>30</v>
      </c>
      <c r="K115" s="1">
        <v>15</v>
      </c>
      <c r="L115" s="1">
        <v>16</v>
      </c>
      <c r="M115" s="1">
        <v>17</v>
      </c>
      <c r="N115" s="1">
        <v>18</v>
      </c>
      <c r="O115" s="1">
        <v>33</v>
      </c>
      <c r="P115" s="1">
        <v>42</v>
      </c>
    </row>
    <row r="116" spans="6:20" x14ac:dyDescent="0.45">
      <c r="F116" s="1">
        <v>30</v>
      </c>
      <c r="G116" s="1">
        <v>43</v>
      </c>
      <c r="H116" s="6">
        <v>66.354354733490652</v>
      </c>
      <c r="I116" s="17" t="s">
        <v>499</v>
      </c>
      <c r="J116" s="1">
        <v>30</v>
      </c>
      <c r="K116" s="1">
        <v>15</v>
      </c>
      <c r="L116" s="1">
        <v>16</v>
      </c>
      <c r="M116" s="1">
        <v>17</v>
      </c>
      <c r="N116" s="1">
        <v>18</v>
      </c>
      <c r="O116" s="1">
        <v>19</v>
      </c>
      <c r="P116" s="1">
        <v>20</v>
      </c>
      <c r="Q116" s="1">
        <v>21</v>
      </c>
      <c r="R116" s="1">
        <v>36</v>
      </c>
      <c r="S116" s="1">
        <v>43</v>
      </c>
    </row>
    <row r="117" spans="6:20" x14ac:dyDescent="0.45">
      <c r="F117" s="1">
        <v>30</v>
      </c>
      <c r="G117" s="1">
        <v>31</v>
      </c>
      <c r="H117" s="6">
        <v>11.649389516081975</v>
      </c>
      <c r="I117" s="16" t="s">
        <v>389</v>
      </c>
      <c r="J117" s="1">
        <v>30</v>
      </c>
      <c r="K117" s="1">
        <v>31</v>
      </c>
    </row>
    <row r="118" spans="6:20" x14ac:dyDescent="0.45">
      <c r="F118" s="1">
        <v>30</v>
      </c>
      <c r="G118" s="1">
        <v>33</v>
      </c>
      <c r="H118" s="6">
        <v>34.920716999171333</v>
      </c>
      <c r="I118" s="18" t="s">
        <v>430</v>
      </c>
      <c r="J118" s="1">
        <v>30</v>
      </c>
      <c r="K118" s="1">
        <v>15</v>
      </c>
      <c r="L118" s="1">
        <v>16</v>
      </c>
      <c r="M118" s="1">
        <v>17</v>
      </c>
      <c r="N118" s="1">
        <v>18</v>
      </c>
      <c r="O118" s="1">
        <v>33</v>
      </c>
    </row>
    <row r="119" spans="6:20" x14ac:dyDescent="0.45">
      <c r="F119" s="1">
        <v>30</v>
      </c>
      <c r="G119" s="1">
        <v>30</v>
      </c>
      <c r="H119" s="6">
        <v>0</v>
      </c>
      <c r="I119" s="16" t="s">
        <v>364</v>
      </c>
      <c r="J119" s="1" t="s">
        <v>364</v>
      </c>
    </row>
    <row r="120" spans="6:20" x14ac:dyDescent="0.45">
      <c r="F120" s="1">
        <v>30</v>
      </c>
      <c r="G120" s="1">
        <v>18</v>
      </c>
      <c r="H120" s="6">
        <v>30.403079261141571</v>
      </c>
      <c r="I120" s="17" t="s">
        <v>431</v>
      </c>
      <c r="J120" s="1">
        <v>30</v>
      </c>
      <c r="K120" s="1">
        <v>15</v>
      </c>
      <c r="L120" s="1">
        <v>16</v>
      </c>
      <c r="M120" s="1">
        <v>17</v>
      </c>
      <c r="N120" s="1">
        <v>18</v>
      </c>
    </row>
    <row r="121" spans="6:20" x14ac:dyDescent="0.45">
      <c r="F121" s="1">
        <v>30</v>
      </c>
      <c r="G121" s="1">
        <v>40</v>
      </c>
      <c r="H121" s="6">
        <v>53.609882586427617</v>
      </c>
      <c r="I121" s="17" t="s">
        <v>500</v>
      </c>
      <c r="J121" s="1">
        <v>30</v>
      </c>
      <c r="K121" s="1">
        <v>15</v>
      </c>
      <c r="L121" s="1">
        <v>14</v>
      </c>
      <c r="M121" s="1">
        <v>13</v>
      </c>
      <c r="N121" s="1">
        <v>12</v>
      </c>
      <c r="O121" s="1">
        <v>27</v>
      </c>
      <c r="P121" s="1">
        <v>39</v>
      </c>
      <c r="Q121" s="1">
        <v>40</v>
      </c>
    </row>
    <row r="122" spans="6:20" x14ac:dyDescent="0.45">
      <c r="F122" s="1">
        <v>18</v>
      </c>
      <c r="G122" s="1">
        <v>9</v>
      </c>
      <c r="H122" s="6">
        <v>27.853853310256625</v>
      </c>
      <c r="I122" s="17" t="s">
        <v>402</v>
      </c>
      <c r="J122" s="1">
        <v>18</v>
      </c>
      <c r="K122" s="1">
        <v>19</v>
      </c>
      <c r="L122" s="1">
        <v>20</v>
      </c>
      <c r="M122" s="1">
        <v>21</v>
      </c>
      <c r="N122" s="1">
        <v>22</v>
      </c>
      <c r="O122" s="1">
        <v>23</v>
      </c>
      <c r="P122" s="1">
        <v>24</v>
      </c>
      <c r="Q122" s="1">
        <v>9</v>
      </c>
    </row>
    <row r="123" spans="6:20" x14ac:dyDescent="0.45">
      <c r="F123" s="1">
        <v>18</v>
      </c>
      <c r="G123" s="1">
        <v>12</v>
      </c>
      <c r="H123" s="6">
        <v>40.436625051168782</v>
      </c>
      <c r="I123" s="18" t="s">
        <v>471</v>
      </c>
      <c r="J123" s="1">
        <v>18</v>
      </c>
      <c r="K123" s="1">
        <v>19</v>
      </c>
      <c r="L123" s="1">
        <v>20</v>
      </c>
      <c r="M123" s="1">
        <v>21</v>
      </c>
      <c r="N123" s="1">
        <v>22</v>
      </c>
      <c r="O123" s="1">
        <v>23</v>
      </c>
      <c r="P123" s="1">
        <v>24</v>
      </c>
      <c r="Q123" s="1">
        <v>9</v>
      </c>
      <c r="R123" s="1">
        <v>10</v>
      </c>
      <c r="S123" s="1">
        <v>11</v>
      </c>
      <c r="T123" s="1">
        <v>12</v>
      </c>
    </row>
    <row r="124" spans="6:20" x14ac:dyDescent="0.45">
      <c r="F124" s="1">
        <v>18</v>
      </c>
      <c r="G124" s="1">
        <v>29</v>
      </c>
      <c r="H124" s="6">
        <v>58.98160838457688</v>
      </c>
      <c r="I124" s="16" t="s">
        <v>472</v>
      </c>
      <c r="J124" s="1">
        <v>18</v>
      </c>
      <c r="K124" s="1">
        <v>17</v>
      </c>
      <c r="L124" s="1">
        <v>16</v>
      </c>
      <c r="M124" s="1">
        <v>15</v>
      </c>
      <c r="N124" s="1">
        <v>30</v>
      </c>
      <c r="O124" s="1">
        <v>29</v>
      </c>
    </row>
    <row r="125" spans="6:20" x14ac:dyDescent="0.45">
      <c r="F125" s="1">
        <v>18</v>
      </c>
      <c r="G125" s="1">
        <v>24</v>
      </c>
      <c r="H125" s="6">
        <v>20.323971230799419</v>
      </c>
      <c r="I125" s="18" t="s">
        <v>403</v>
      </c>
      <c r="J125" s="1">
        <v>18</v>
      </c>
      <c r="K125" s="1">
        <v>19</v>
      </c>
      <c r="L125" s="1">
        <v>20</v>
      </c>
      <c r="M125" s="1">
        <v>21</v>
      </c>
      <c r="N125" s="1">
        <v>22</v>
      </c>
      <c r="O125" s="1">
        <v>23</v>
      </c>
      <c r="P125" s="1">
        <v>24</v>
      </c>
    </row>
    <row r="126" spans="6:20" x14ac:dyDescent="0.45">
      <c r="F126" s="1">
        <v>18</v>
      </c>
      <c r="G126" s="1">
        <v>21</v>
      </c>
      <c r="H126" s="6">
        <v>13.188684159131515</v>
      </c>
      <c r="I126" s="16" t="s">
        <v>390</v>
      </c>
      <c r="J126" s="1">
        <v>18</v>
      </c>
      <c r="K126" s="1">
        <v>19</v>
      </c>
      <c r="L126" s="1">
        <v>20</v>
      </c>
      <c r="M126" s="1">
        <v>21</v>
      </c>
    </row>
    <row r="127" spans="6:20" x14ac:dyDescent="0.45">
      <c r="F127" s="1">
        <v>18</v>
      </c>
      <c r="G127" s="1">
        <v>42</v>
      </c>
      <c r="H127" s="6">
        <v>32.184557656212867</v>
      </c>
      <c r="I127" s="1" t="s">
        <v>404</v>
      </c>
      <c r="J127" s="1">
        <v>18</v>
      </c>
      <c r="K127" s="1">
        <v>33</v>
      </c>
      <c r="L127" s="1">
        <v>42</v>
      </c>
    </row>
    <row r="128" spans="6:20" x14ac:dyDescent="0.45">
      <c r="F128" s="1">
        <v>18</v>
      </c>
      <c r="G128" s="1">
        <v>43</v>
      </c>
      <c r="H128" s="6">
        <v>35.951275472349074</v>
      </c>
      <c r="I128" s="16" t="s">
        <v>456</v>
      </c>
      <c r="J128" s="1">
        <v>18</v>
      </c>
      <c r="K128" s="1">
        <v>19</v>
      </c>
      <c r="L128" s="1">
        <v>20</v>
      </c>
      <c r="M128" s="1">
        <v>21</v>
      </c>
      <c r="N128" s="1">
        <v>36</v>
      </c>
      <c r="O128" s="1">
        <v>43</v>
      </c>
    </row>
    <row r="129" spans="6:18" x14ac:dyDescent="0.45">
      <c r="F129" s="1">
        <v>18</v>
      </c>
      <c r="G129" s="1">
        <v>31</v>
      </c>
      <c r="H129" s="6">
        <v>23.310088846967702</v>
      </c>
      <c r="I129" s="17" t="s">
        <v>501</v>
      </c>
      <c r="J129" s="1">
        <v>18</v>
      </c>
      <c r="K129" s="1">
        <v>17</v>
      </c>
      <c r="L129" s="1">
        <v>16</v>
      </c>
      <c r="M129" s="1">
        <v>31</v>
      </c>
    </row>
    <row r="130" spans="6:18" x14ac:dyDescent="0.45">
      <c r="F130" s="1">
        <v>18</v>
      </c>
      <c r="G130" s="1">
        <v>33</v>
      </c>
      <c r="H130" s="6">
        <v>4.5176377380297623</v>
      </c>
      <c r="I130" s="17" t="s">
        <v>391</v>
      </c>
      <c r="J130" s="1">
        <v>18</v>
      </c>
      <c r="K130" s="1">
        <v>33</v>
      </c>
    </row>
    <row r="131" spans="6:18" x14ac:dyDescent="0.45">
      <c r="F131" s="1">
        <v>18</v>
      </c>
      <c r="G131" s="1">
        <v>30</v>
      </c>
      <c r="H131" s="6">
        <v>30.54959404685404</v>
      </c>
      <c r="I131" s="16" t="s">
        <v>432</v>
      </c>
      <c r="J131" s="1">
        <v>18</v>
      </c>
      <c r="K131" s="1">
        <v>17</v>
      </c>
      <c r="L131" s="1">
        <v>16</v>
      </c>
      <c r="M131" s="1">
        <v>15</v>
      </c>
      <c r="N131" s="1">
        <v>30</v>
      </c>
    </row>
    <row r="132" spans="6:18" x14ac:dyDescent="0.45">
      <c r="F132" s="1">
        <v>18</v>
      </c>
      <c r="G132" s="1">
        <v>18</v>
      </c>
      <c r="H132" s="6">
        <v>0</v>
      </c>
      <c r="I132" s="16" t="s">
        <v>364</v>
      </c>
      <c r="J132" s="1" t="s">
        <v>364</v>
      </c>
    </row>
    <row r="133" spans="6:18" x14ac:dyDescent="0.45">
      <c r="F133" s="1">
        <v>18</v>
      </c>
      <c r="G133" s="1">
        <v>40</v>
      </c>
      <c r="H133" s="6">
        <v>33.250589417378748</v>
      </c>
      <c r="I133" s="17" t="s">
        <v>473</v>
      </c>
      <c r="J133" s="1">
        <v>18</v>
      </c>
      <c r="K133" s="1">
        <v>19</v>
      </c>
      <c r="L133" s="1">
        <v>20</v>
      </c>
      <c r="M133" s="1">
        <v>21</v>
      </c>
      <c r="N133" s="1">
        <v>22</v>
      </c>
      <c r="O133" s="1">
        <v>23</v>
      </c>
      <c r="P133" s="1">
        <v>38</v>
      </c>
      <c r="Q133" s="1">
        <v>39</v>
      </c>
      <c r="R133" s="1">
        <v>40</v>
      </c>
    </row>
    <row r="134" spans="6:18" x14ac:dyDescent="0.45">
      <c r="F134" s="1">
        <v>40</v>
      </c>
      <c r="G134" s="1">
        <v>9</v>
      </c>
      <c r="H134" s="6">
        <v>20.384712876571548</v>
      </c>
      <c r="I134" s="1" t="s">
        <v>457</v>
      </c>
      <c r="J134" s="1">
        <v>40</v>
      </c>
      <c r="K134" s="1">
        <v>39</v>
      </c>
      <c r="L134" s="1">
        <v>38</v>
      </c>
      <c r="M134" s="1">
        <v>26</v>
      </c>
      <c r="N134" s="1">
        <v>25</v>
      </c>
      <c r="O134" s="1">
        <v>10</v>
      </c>
      <c r="P134" s="1">
        <v>9</v>
      </c>
    </row>
    <row r="135" spans="6:18" x14ac:dyDescent="0.45">
      <c r="F135" s="1">
        <v>40</v>
      </c>
      <c r="G135" s="1">
        <v>12</v>
      </c>
      <c r="H135" s="6">
        <v>23.301733749464248</v>
      </c>
      <c r="I135" s="17" t="s">
        <v>449</v>
      </c>
      <c r="J135" s="1">
        <v>40</v>
      </c>
      <c r="K135" s="1">
        <v>39</v>
      </c>
      <c r="L135" s="1">
        <v>27</v>
      </c>
      <c r="M135" s="1">
        <v>12</v>
      </c>
    </row>
    <row r="136" spans="6:18" x14ac:dyDescent="0.45">
      <c r="F136" s="1">
        <v>40</v>
      </c>
      <c r="G136" s="1">
        <v>29</v>
      </c>
      <c r="H136" s="6">
        <v>30.151807158459988</v>
      </c>
      <c r="I136" s="18" t="s">
        <v>392</v>
      </c>
      <c r="J136" s="1">
        <v>40</v>
      </c>
      <c r="K136" s="1">
        <v>28</v>
      </c>
      <c r="L136" s="1">
        <v>29</v>
      </c>
    </row>
    <row r="137" spans="6:18" x14ac:dyDescent="0.45">
      <c r="F137" s="1">
        <v>40</v>
      </c>
      <c r="G137" s="1">
        <v>24</v>
      </c>
      <c r="H137" s="6">
        <v>14.241744832979778</v>
      </c>
      <c r="I137" s="16" t="s">
        <v>410</v>
      </c>
      <c r="J137" s="1">
        <v>40</v>
      </c>
      <c r="K137" s="1">
        <v>39</v>
      </c>
      <c r="L137" s="1">
        <v>38</v>
      </c>
      <c r="M137" s="1">
        <v>23</v>
      </c>
      <c r="N137" s="1">
        <v>24</v>
      </c>
    </row>
    <row r="138" spans="6:18" x14ac:dyDescent="0.45">
      <c r="F138" s="1">
        <v>40</v>
      </c>
      <c r="G138" s="1">
        <v>21</v>
      </c>
      <c r="H138" s="6">
        <v>19.910819687146788</v>
      </c>
      <c r="I138" s="18" t="s">
        <v>435</v>
      </c>
      <c r="J138" s="1">
        <v>40</v>
      </c>
      <c r="K138" s="1">
        <v>39</v>
      </c>
      <c r="L138" s="1">
        <v>38</v>
      </c>
      <c r="M138" s="1">
        <v>23</v>
      </c>
      <c r="N138" s="1">
        <v>22</v>
      </c>
      <c r="O138" s="1">
        <v>21</v>
      </c>
    </row>
    <row r="139" spans="6:18" x14ac:dyDescent="0.45">
      <c r="F139" s="1">
        <v>40</v>
      </c>
      <c r="G139" s="1">
        <v>42</v>
      </c>
      <c r="H139" s="6">
        <v>16.237166944850223</v>
      </c>
      <c r="I139" s="16" t="s">
        <v>393</v>
      </c>
      <c r="J139" s="1">
        <v>40</v>
      </c>
      <c r="K139" s="1">
        <v>41</v>
      </c>
      <c r="L139" s="1">
        <v>42</v>
      </c>
    </row>
    <row r="140" spans="6:18" x14ac:dyDescent="0.45">
      <c r="F140" s="1">
        <v>40</v>
      </c>
      <c r="G140" s="1">
        <v>43</v>
      </c>
      <c r="H140" s="6">
        <v>21.460164870353836</v>
      </c>
      <c r="I140" s="18" t="s">
        <v>433</v>
      </c>
      <c r="J140" s="1">
        <v>40</v>
      </c>
      <c r="K140" s="1">
        <v>39</v>
      </c>
      <c r="L140" s="1">
        <v>44</v>
      </c>
      <c r="M140" s="1">
        <v>43</v>
      </c>
    </row>
    <row r="141" spans="6:18" x14ac:dyDescent="0.45">
      <c r="F141" s="1">
        <v>40</v>
      </c>
      <c r="G141" s="1">
        <v>31</v>
      </c>
      <c r="H141" s="6">
        <v>54.085738023300145</v>
      </c>
      <c r="I141" s="16" t="s">
        <v>458</v>
      </c>
      <c r="J141" s="1">
        <v>40</v>
      </c>
      <c r="K141" s="1">
        <v>39</v>
      </c>
      <c r="L141" s="1">
        <v>27</v>
      </c>
      <c r="M141" s="1">
        <v>12</v>
      </c>
      <c r="N141" s="1">
        <v>13</v>
      </c>
      <c r="O141" s="1">
        <v>14</v>
      </c>
      <c r="P141" s="1">
        <v>15</v>
      </c>
      <c r="Q141" s="1">
        <v>16</v>
      </c>
      <c r="R141" s="1">
        <v>31</v>
      </c>
    </row>
    <row r="142" spans="6:18" x14ac:dyDescent="0.45">
      <c r="F142" s="1">
        <v>40</v>
      </c>
      <c r="G142" s="1">
        <v>33</v>
      </c>
      <c r="H142" s="6">
        <v>35.805411303480618</v>
      </c>
      <c r="I142" s="18" t="s">
        <v>434</v>
      </c>
      <c r="J142" s="1">
        <v>40</v>
      </c>
      <c r="K142" s="1">
        <v>39</v>
      </c>
      <c r="L142" s="1">
        <v>44</v>
      </c>
      <c r="M142" s="1">
        <v>37</v>
      </c>
      <c r="N142" s="1">
        <v>36</v>
      </c>
      <c r="O142" s="1">
        <v>35</v>
      </c>
      <c r="P142" s="1">
        <v>34</v>
      </c>
      <c r="Q142" s="1">
        <v>33</v>
      </c>
    </row>
    <row r="143" spans="6:18" x14ac:dyDescent="0.45">
      <c r="F143" s="1">
        <v>40</v>
      </c>
      <c r="G143" s="1">
        <v>30</v>
      </c>
      <c r="H143" s="6">
        <v>55.731508059647915</v>
      </c>
      <c r="I143" s="18" t="s">
        <v>502</v>
      </c>
      <c r="J143" s="1">
        <v>40</v>
      </c>
      <c r="K143" s="1">
        <v>39</v>
      </c>
      <c r="L143" s="1">
        <v>27</v>
      </c>
      <c r="M143" s="1">
        <v>12</v>
      </c>
      <c r="N143" s="1">
        <v>13</v>
      </c>
      <c r="O143" s="1">
        <v>14</v>
      </c>
      <c r="P143" s="1">
        <v>15</v>
      </c>
      <c r="Q143" s="1">
        <v>30</v>
      </c>
    </row>
    <row r="144" spans="6:18" x14ac:dyDescent="0.45">
      <c r="F144" s="1">
        <v>40</v>
      </c>
      <c r="G144" s="1">
        <v>18</v>
      </c>
      <c r="H144" s="6">
        <v>33.109009099925039</v>
      </c>
      <c r="I144" s="18" t="s">
        <v>474</v>
      </c>
      <c r="J144" s="1">
        <v>40</v>
      </c>
      <c r="K144" s="1">
        <v>39</v>
      </c>
      <c r="L144" s="1">
        <v>38</v>
      </c>
      <c r="M144" s="1">
        <v>23</v>
      </c>
      <c r="N144" s="1">
        <v>22</v>
      </c>
      <c r="O144" s="1">
        <v>21</v>
      </c>
      <c r="P144" s="1">
        <v>20</v>
      </c>
      <c r="Q144" s="1">
        <v>19</v>
      </c>
      <c r="R144" s="1">
        <v>18</v>
      </c>
    </row>
    <row r="145" spans="6:10" x14ac:dyDescent="0.45">
      <c r="F145" s="1">
        <v>40</v>
      </c>
      <c r="G145" s="1">
        <v>40</v>
      </c>
      <c r="H145" s="6">
        <v>0</v>
      </c>
      <c r="I145" s="16" t="s">
        <v>364</v>
      </c>
      <c r="J145" s="1" t="s">
        <v>364</v>
      </c>
    </row>
    <row r="146" spans="6:10" x14ac:dyDescent="0.45">
      <c r="I146" s="18"/>
    </row>
    <row r="147" spans="6:10" x14ac:dyDescent="0.45">
      <c r="I147" s="17"/>
    </row>
    <row r="149" spans="6:10" x14ac:dyDescent="0.45">
      <c r="I149" s="18"/>
    </row>
    <row r="150" spans="6:10" x14ac:dyDescent="0.45">
      <c r="I150" s="16"/>
    </row>
    <row r="151" spans="6:10" x14ac:dyDescent="0.45">
      <c r="I151" s="18"/>
    </row>
    <row r="152" spans="6:10" x14ac:dyDescent="0.45">
      <c r="I152" s="18"/>
    </row>
    <row r="153" spans="6:10" x14ac:dyDescent="0.45">
      <c r="I153" s="16"/>
    </row>
    <row r="154" spans="6:10" x14ac:dyDescent="0.45">
      <c r="I154" s="16"/>
    </row>
    <row r="155" spans="6:10" x14ac:dyDescent="0.45">
      <c r="I155" s="18"/>
    </row>
    <row r="157" spans="6:10" x14ac:dyDescent="0.45">
      <c r="I157" s="16"/>
    </row>
    <row r="158" spans="6:10" x14ac:dyDescent="0.45">
      <c r="I158" s="17"/>
    </row>
    <row r="159" spans="6:10" x14ac:dyDescent="0.45">
      <c r="I159" s="16"/>
    </row>
    <row r="160" spans="6:10" x14ac:dyDescent="0.45">
      <c r="I160" s="17"/>
    </row>
    <row r="161" spans="9:9" x14ac:dyDescent="0.45">
      <c r="I161" s="16"/>
    </row>
    <row r="162" spans="9:9" x14ac:dyDescent="0.45">
      <c r="I162" s="18"/>
    </row>
    <row r="163" spans="9:9" x14ac:dyDescent="0.45">
      <c r="I163" s="16"/>
    </row>
    <row r="164" spans="9:9" x14ac:dyDescent="0.45">
      <c r="I164" s="17"/>
    </row>
    <row r="165" spans="9:9" x14ac:dyDescent="0.45">
      <c r="I165" s="17"/>
    </row>
    <row r="166" spans="9:9" x14ac:dyDescent="0.45">
      <c r="I166" s="18"/>
    </row>
    <row r="167" spans="9:9" x14ac:dyDescent="0.45">
      <c r="I167" s="16"/>
    </row>
    <row r="168" spans="9:9" x14ac:dyDescent="0.45">
      <c r="I168" s="16"/>
    </row>
    <row r="170" spans="9:9" x14ac:dyDescent="0.45">
      <c r="I170" s="17"/>
    </row>
    <row r="171" spans="9:9" x14ac:dyDescent="0.45">
      <c r="I171" s="18"/>
    </row>
    <row r="172" spans="9:9" x14ac:dyDescent="0.45">
      <c r="I172" s="16"/>
    </row>
    <row r="173" spans="9:9" x14ac:dyDescent="0.45">
      <c r="I173" s="17"/>
    </row>
    <row r="174" spans="9:9" x14ac:dyDescent="0.45">
      <c r="I174" s="16"/>
    </row>
    <row r="175" spans="9:9" x14ac:dyDescent="0.45">
      <c r="I175" s="16"/>
    </row>
    <row r="176" spans="9:9" x14ac:dyDescent="0.45">
      <c r="I176" s="18"/>
    </row>
    <row r="177" spans="9:9" x14ac:dyDescent="0.45">
      <c r="I177" s="16"/>
    </row>
    <row r="179" spans="9:9" x14ac:dyDescent="0.45">
      <c r="I179" s="18"/>
    </row>
    <row r="180" spans="9:9" x14ac:dyDescent="0.45">
      <c r="I180" s="16"/>
    </row>
    <row r="181" spans="9:9" x14ac:dyDescent="0.45">
      <c r="I181" s="18"/>
    </row>
    <row r="182" spans="9:9" x14ac:dyDescent="0.45">
      <c r="I182" s="18"/>
    </row>
    <row r="183" spans="9:9" x14ac:dyDescent="0.45">
      <c r="I183" s="17"/>
    </row>
    <row r="184" spans="9:9" x14ac:dyDescent="0.45">
      <c r="I184" s="17"/>
    </row>
    <row r="185" spans="9:9" x14ac:dyDescent="0.45">
      <c r="I185" s="16"/>
    </row>
    <row r="186" spans="9:9" x14ac:dyDescent="0.45">
      <c r="I186" s="16"/>
    </row>
    <row r="187" spans="9:9" x14ac:dyDescent="0.45">
      <c r="I187" s="16"/>
    </row>
    <row r="188" spans="9:9" x14ac:dyDescent="0.45">
      <c r="I188" s="17"/>
    </row>
    <row r="189" spans="9:9" x14ac:dyDescent="0.45">
      <c r="I189" s="18"/>
    </row>
    <row r="191" spans="9:9" x14ac:dyDescent="0.45">
      <c r="I191" s="18"/>
    </row>
    <row r="192" spans="9:9" x14ac:dyDescent="0.45">
      <c r="I192" s="17"/>
    </row>
    <row r="193" spans="9:9" x14ac:dyDescent="0.45">
      <c r="I193" s="16"/>
    </row>
    <row r="194" spans="9:9" x14ac:dyDescent="0.45">
      <c r="I194" s="18"/>
    </row>
    <row r="195" spans="9:9" x14ac:dyDescent="0.45">
      <c r="I195" s="17"/>
    </row>
    <row r="196" spans="9:9" x14ac:dyDescent="0.45">
      <c r="I196" s="18"/>
    </row>
    <row r="197" spans="9:9" x14ac:dyDescent="0.45">
      <c r="I197" s="18"/>
    </row>
    <row r="198" spans="9:9" x14ac:dyDescent="0.45">
      <c r="I198" s="16"/>
    </row>
    <row r="199" spans="9:9" x14ac:dyDescent="0.45">
      <c r="I199" s="16"/>
    </row>
    <row r="201" spans="9:9" x14ac:dyDescent="0.45">
      <c r="I201" s="16"/>
    </row>
    <row r="202" spans="9:9" x14ac:dyDescent="0.45">
      <c r="I202" s="16"/>
    </row>
    <row r="203" spans="9:9" x14ac:dyDescent="0.45">
      <c r="I203" s="17"/>
    </row>
    <row r="204" spans="9:9" x14ac:dyDescent="0.45">
      <c r="I204" s="18"/>
    </row>
    <row r="205" spans="9:9" x14ac:dyDescent="0.45">
      <c r="I205" s="18"/>
    </row>
    <row r="206" spans="9:9" x14ac:dyDescent="0.45">
      <c r="I206" s="17"/>
    </row>
    <row r="207" spans="9:9" x14ac:dyDescent="0.45">
      <c r="I207" s="16"/>
    </row>
    <row r="208" spans="9:9" x14ac:dyDescent="0.45">
      <c r="I208" s="16"/>
    </row>
    <row r="209" spans="9:9" x14ac:dyDescent="0.45">
      <c r="I209" s="18"/>
    </row>
    <row r="210" spans="9:9" x14ac:dyDescent="0.45">
      <c r="I210" s="17"/>
    </row>
    <row r="212" spans="9:9" x14ac:dyDescent="0.45">
      <c r="I212" s="17"/>
    </row>
    <row r="213" spans="9:9" x14ac:dyDescent="0.45">
      <c r="I213" s="16"/>
    </row>
    <row r="214" spans="9:9" x14ac:dyDescent="0.45">
      <c r="I214" s="16"/>
    </row>
    <row r="215" spans="9:9" x14ac:dyDescent="0.45">
      <c r="I215" s="18"/>
    </row>
    <row r="216" spans="9:9" x14ac:dyDescent="0.45">
      <c r="I216" s="16"/>
    </row>
    <row r="217" spans="9:9" x14ac:dyDescent="0.45">
      <c r="I217" s="16"/>
    </row>
    <row r="218" spans="9:9" x14ac:dyDescent="0.45">
      <c r="I218" s="17"/>
    </row>
    <row r="219" spans="9:9" x14ac:dyDescent="0.45">
      <c r="I219" s="17"/>
    </row>
    <row r="220" spans="9:9" x14ac:dyDescent="0.45">
      <c r="I220" s="18"/>
    </row>
    <row r="221" spans="9:9" x14ac:dyDescent="0.45">
      <c r="I221" s="18"/>
    </row>
    <row r="223" spans="9:9" x14ac:dyDescent="0.45">
      <c r="I223" s="18"/>
    </row>
    <row r="224" spans="9:9" x14ac:dyDescent="0.45">
      <c r="I224" s="17"/>
    </row>
    <row r="225" spans="9:9" x14ac:dyDescent="0.45">
      <c r="I225" s="18"/>
    </row>
    <row r="226" spans="9:9" x14ac:dyDescent="0.45">
      <c r="I226" s="16"/>
    </row>
    <row r="227" spans="9:9" x14ac:dyDescent="0.45">
      <c r="I227" s="16"/>
    </row>
    <row r="228" spans="9:9" x14ac:dyDescent="0.45">
      <c r="I228" s="17"/>
    </row>
    <row r="229" spans="9:9" x14ac:dyDescent="0.45">
      <c r="I229" s="16"/>
    </row>
    <row r="230" spans="9:9" x14ac:dyDescent="0.45">
      <c r="I230" s="18"/>
    </row>
    <row r="231" spans="9:9" x14ac:dyDescent="0.45">
      <c r="I231" s="16"/>
    </row>
    <row r="233" spans="9:9" x14ac:dyDescent="0.45">
      <c r="I233" s="16"/>
    </row>
    <row r="234" spans="9:9" x14ac:dyDescent="0.45">
      <c r="I234" s="17"/>
    </row>
    <row r="235" spans="9:9" x14ac:dyDescent="0.45">
      <c r="I235" s="18"/>
    </row>
    <row r="236" spans="9:9" x14ac:dyDescent="0.45">
      <c r="I236" s="17"/>
    </row>
    <row r="237" spans="9:9" x14ac:dyDescent="0.45">
      <c r="I237" s="17"/>
    </row>
    <row r="238" spans="9:9" x14ac:dyDescent="0.45">
      <c r="I238" s="18"/>
    </row>
    <row r="239" spans="9:9" x14ac:dyDescent="0.45">
      <c r="I239" s="16"/>
    </row>
    <row r="240" spans="9:9" x14ac:dyDescent="0.45">
      <c r="I240" s="18"/>
    </row>
    <row r="241" spans="9:9" x14ac:dyDescent="0.45">
      <c r="I241" s="17"/>
    </row>
    <row r="242" spans="9:9" x14ac:dyDescent="0.45">
      <c r="I242" s="18"/>
    </row>
    <row r="243" spans="9:9" x14ac:dyDescent="0.45">
      <c r="I243" s="16"/>
    </row>
    <row r="245" spans="9:9" x14ac:dyDescent="0.45">
      <c r="I245" s="18"/>
    </row>
    <row r="246" spans="9:9" x14ac:dyDescent="0.45">
      <c r="I246" s="16"/>
    </row>
    <row r="247" spans="9:9" x14ac:dyDescent="0.45">
      <c r="I247" s="16"/>
    </row>
    <row r="248" spans="9:9" x14ac:dyDescent="0.45">
      <c r="I248" s="16"/>
    </row>
    <row r="249" spans="9:9" x14ac:dyDescent="0.45">
      <c r="I249" s="17"/>
    </row>
    <row r="250" spans="9:9" x14ac:dyDescent="0.45">
      <c r="I250" s="18"/>
    </row>
    <row r="251" spans="9:9" x14ac:dyDescent="0.45">
      <c r="I251" s="17"/>
    </row>
    <row r="252" spans="9:9" x14ac:dyDescent="0.45">
      <c r="I252" s="18"/>
    </row>
    <row r="254" spans="9:9" x14ac:dyDescent="0.45">
      <c r="I254" s="18"/>
    </row>
    <row r="255" spans="9:9" x14ac:dyDescent="0.45">
      <c r="I255" s="18"/>
    </row>
    <row r="256" spans="9:9" x14ac:dyDescent="0.45">
      <c r="I256" s="18"/>
    </row>
    <row r="257" spans="9:9" x14ac:dyDescent="0.45">
      <c r="I257" s="18"/>
    </row>
    <row r="258" spans="9:9" x14ac:dyDescent="0.45">
      <c r="I258" s="18"/>
    </row>
    <row r="259" spans="9:9" x14ac:dyDescent="0.45">
      <c r="I259" s="18"/>
    </row>
    <row r="260" spans="9:9" x14ac:dyDescent="0.45">
      <c r="I260" s="18"/>
    </row>
    <row r="261" spans="9:9" x14ac:dyDescent="0.45">
      <c r="I261" s="18"/>
    </row>
    <row r="263" spans="9:9" x14ac:dyDescent="0.45">
      <c r="I263" s="18"/>
    </row>
    <row r="264" spans="9:9" x14ac:dyDescent="0.45">
      <c r="I264" s="18"/>
    </row>
    <row r="265" spans="9:9" x14ac:dyDescent="0.45">
      <c r="I265" s="18"/>
    </row>
    <row r="267" spans="9:9" x14ac:dyDescent="0.45">
      <c r="I267" s="18"/>
    </row>
    <row r="268" spans="9:9" x14ac:dyDescent="0.45">
      <c r="I268" s="18"/>
    </row>
    <row r="272" spans="9:9" x14ac:dyDescent="0.45">
      <c r="I272" s="18"/>
    </row>
    <row r="281" spans="9:9" x14ac:dyDescent="0.45">
      <c r="I281" s="18"/>
    </row>
    <row r="283" spans="9:9" x14ac:dyDescent="0.45">
      <c r="I283" s="18"/>
    </row>
    <row r="284" spans="9:9" x14ac:dyDescent="0.45">
      <c r="I284" s="18"/>
    </row>
    <row r="285" spans="9:9" x14ac:dyDescent="0.45">
      <c r="I285" s="18"/>
    </row>
    <row r="286" spans="9:9" x14ac:dyDescent="0.45">
      <c r="I286" s="18"/>
    </row>
    <row r="287" spans="9:9" x14ac:dyDescent="0.45">
      <c r="I287" s="18"/>
    </row>
    <row r="290" spans="9:9" x14ac:dyDescent="0.45">
      <c r="I290" s="18"/>
    </row>
    <row r="292" spans="9:9" x14ac:dyDescent="0.45">
      <c r="I292" s="18"/>
    </row>
    <row r="293" spans="9:9" x14ac:dyDescent="0.45">
      <c r="I293" s="18"/>
    </row>
    <row r="294" spans="9:9" x14ac:dyDescent="0.45">
      <c r="I294" s="18"/>
    </row>
    <row r="297" spans="9:9" x14ac:dyDescent="0.45">
      <c r="I297" s="18"/>
    </row>
    <row r="300" spans="9:9" x14ac:dyDescent="0.45">
      <c r="I300" s="18"/>
    </row>
    <row r="302" spans="9:9" x14ac:dyDescent="0.45">
      <c r="I302" s="18"/>
    </row>
    <row r="306" spans="9:9" x14ac:dyDescent="0.45">
      <c r="I306" s="18"/>
    </row>
    <row r="307" spans="9:9" x14ac:dyDescent="0.45">
      <c r="I307" s="18"/>
    </row>
    <row r="308" spans="9:9" x14ac:dyDescent="0.45">
      <c r="I308" s="18"/>
    </row>
    <row r="309" spans="9:9" x14ac:dyDescent="0.45">
      <c r="I309" s="18"/>
    </row>
    <row r="311" spans="9:9" x14ac:dyDescent="0.45">
      <c r="I311" s="18"/>
    </row>
    <row r="313" spans="9:9" x14ac:dyDescent="0.45">
      <c r="I313" s="18"/>
    </row>
    <row r="315" spans="9:9" x14ac:dyDescent="0.45">
      <c r="I315" s="18"/>
    </row>
    <row r="317" spans="9:9" x14ac:dyDescent="0.45">
      <c r="I317" s="18"/>
    </row>
    <row r="318" spans="9:9" x14ac:dyDescent="0.45">
      <c r="I318" s="18"/>
    </row>
    <row r="319" spans="9:9" x14ac:dyDescent="0.45">
      <c r="I319" s="18"/>
    </row>
    <row r="320" spans="9:9" x14ac:dyDescent="0.45">
      <c r="I320" s="18"/>
    </row>
    <row r="321" spans="9:9" x14ac:dyDescent="0.45">
      <c r="I321" s="18"/>
    </row>
    <row r="322" spans="9:9" x14ac:dyDescent="0.45">
      <c r="I322" s="18"/>
    </row>
    <row r="323" spans="9:9" x14ac:dyDescent="0.45">
      <c r="I323" s="18"/>
    </row>
    <row r="325" spans="9:9" x14ac:dyDescent="0.45">
      <c r="I325" s="18"/>
    </row>
    <row r="326" spans="9:9" x14ac:dyDescent="0.45">
      <c r="I326" s="18"/>
    </row>
    <row r="329" spans="9:9" x14ac:dyDescent="0.45">
      <c r="I329" s="18"/>
    </row>
    <row r="330" spans="9:9" x14ac:dyDescent="0.45">
      <c r="I330" s="18"/>
    </row>
    <row r="331" spans="9:9" x14ac:dyDescent="0.45">
      <c r="I331" s="18"/>
    </row>
    <row r="333" spans="9:9" x14ac:dyDescent="0.45">
      <c r="I333" s="18"/>
    </row>
    <row r="334" spans="9:9" x14ac:dyDescent="0.45">
      <c r="I334" s="18"/>
    </row>
    <row r="335" spans="9:9" x14ac:dyDescent="0.45">
      <c r="I335" s="18"/>
    </row>
    <row r="344" spans="9:9" x14ac:dyDescent="0.45">
      <c r="I344" s="18"/>
    </row>
    <row r="345" spans="9:9" x14ac:dyDescent="0.45">
      <c r="I345" s="18"/>
    </row>
    <row r="346" spans="9:9" x14ac:dyDescent="0.45">
      <c r="I346" s="18"/>
    </row>
    <row r="347" spans="9:9" x14ac:dyDescent="0.45">
      <c r="I347" s="18"/>
    </row>
    <row r="348" spans="9:9" x14ac:dyDescent="0.45">
      <c r="I348" s="18"/>
    </row>
    <row r="349" spans="9:9" x14ac:dyDescent="0.45">
      <c r="I349" s="18"/>
    </row>
    <row r="350" spans="9:9" x14ac:dyDescent="0.45">
      <c r="I350" s="18"/>
    </row>
    <row r="353" spans="9:9" x14ac:dyDescent="0.45">
      <c r="I353" s="18"/>
    </row>
    <row r="356" spans="9:9" x14ac:dyDescent="0.45">
      <c r="I356" s="18"/>
    </row>
    <row r="357" spans="9:9" x14ac:dyDescent="0.45">
      <c r="I357" s="18"/>
    </row>
    <row r="359" spans="9:9" x14ac:dyDescent="0.45">
      <c r="I359" s="18"/>
    </row>
    <row r="364" spans="9:9" x14ac:dyDescent="0.45">
      <c r="I364" s="18"/>
    </row>
    <row r="367" spans="9:9" x14ac:dyDescent="0.45">
      <c r="I367" s="18"/>
    </row>
    <row r="370" spans="9:9" x14ac:dyDescent="0.45">
      <c r="I370" s="18"/>
    </row>
    <row r="371" spans="9:9" x14ac:dyDescent="0.45">
      <c r="I371" s="18"/>
    </row>
    <row r="372" spans="9:9" x14ac:dyDescent="0.45">
      <c r="I372" s="18"/>
    </row>
    <row r="373" spans="9:9" x14ac:dyDescent="0.45">
      <c r="I373" s="18"/>
    </row>
    <row r="374" spans="9:9" x14ac:dyDescent="0.45">
      <c r="I374" s="18"/>
    </row>
    <row r="375" spans="9:9" x14ac:dyDescent="0.45">
      <c r="I375" s="18"/>
    </row>
    <row r="377" spans="9:9" x14ac:dyDescent="0.45">
      <c r="I377" s="18"/>
    </row>
    <row r="380" spans="9:9" x14ac:dyDescent="0.45">
      <c r="I380" s="18"/>
    </row>
    <row r="381" spans="9:9" x14ac:dyDescent="0.45">
      <c r="I381" s="18"/>
    </row>
    <row r="382" spans="9:9" x14ac:dyDescent="0.45">
      <c r="I382" s="18"/>
    </row>
    <row r="383" spans="9:9" x14ac:dyDescent="0.45">
      <c r="I383" s="18"/>
    </row>
    <row r="384" spans="9:9" x14ac:dyDescent="0.45">
      <c r="I384" s="18"/>
    </row>
    <row r="385" spans="9:9" x14ac:dyDescent="0.45">
      <c r="I385" s="18"/>
    </row>
    <row r="386" spans="9:9" x14ac:dyDescent="0.45">
      <c r="I386" s="18"/>
    </row>
    <row r="387" spans="9:9" x14ac:dyDescent="0.45">
      <c r="I387" s="18"/>
    </row>
    <row r="389" spans="9:9" x14ac:dyDescent="0.45">
      <c r="I389" s="18"/>
    </row>
    <row r="391" spans="9:9" x14ac:dyDescent="0.45">
      <c r="I391" s="18"/>
    </row>
    <row r="392" spans="9:9" x14ac:dyDescent="0.45">
      <c r="I392" s="18"/>
    </row>
    <row r="395" spans="9:9" x14ac:dyDescent="0.45">
      <c r="I395" s="18"/>
    </row>
    <row r="397" spans="9:9" x14ac:dyDescent="0.45">
      <c r="I397" s="18"/>
    </row>
    <row r="399" spans="9:9" x14ac:dyDescent="0.45">
      <c r="I399" s="18"/>
    </row>
    <row r="401" spans="9:9" x14ac:dyDescent="0.45">
      <c r="I401" s="18"/>
    </row>
    <row r="406" spans="9:9" x14ac:dyDescent="0.45">
      <c r="I406" s="18"/>
    </row>
    <row r="409" spans="9:9" x14ac:dyDescent="0.45">
      <c r="I409" s="18"/>
    </row>
    <row r="410" spans="9:9" x14ac:dyDescent="0.45">
      <c r="I410" s="18"/>
    </row>
    <row r="411" spans="9:9" x14ac:dyDescent="0.45">
      <c r="I411" s="18"/>
    </row>
    <row r="412" spans="9:9" x14ac:dyDescent="0.45">
      <c r="I412" s="18"/>
    </row>
    <row r="415" spans="9:9" x14ac:dyDescent="0.45">
      <c r="I415" s="18"/>
    </row>
    <row r="416" spans="9:9" x14ac:dyDescent="0.45">
      <c r="I416" s="18"/>
    </row>
    <row r="417" spans="9:9" x14ac:dyDescent="0.45">
      <c r="I417" s="18"/>
    </row>
    <row r="418" spans="9:9" x14ac:dyDescent="0.45">
      <c r="I418" s="18"/>
    </row>
    <row r="419" spans="9:9" x14ac:dyDescent="0.45">
      <c r="I419" s="1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SClearSPth">
                <anchor moveWithCells="1" sizeWithCells="1">
                  <from>
                    <xdr:col>0</xdr:col>
                    <xdr:colOff>0</xdr:colOff>
                    <xdr:row>8</xdr:row>
                    <xdr:rowOff>23813</xdr:rowOff>
                  </from>
                  <to>
                    <xdr:col>3</xdr:col>
                    <xdr:colOff>357188</xdr:colOff>
                    <xdr:row>10</xdr:row>
                    <xdr:rowOff>152400</xdr:rowOff>
                  </to>
                </anchor>
              </controlPr>
            </control>
          </mc:Choice>
        </mc:AlternateContent>
        <mc:AlternateContent xmlns:mc="http://schemas.openxmlformats.org/markup-compatibility/2006">
          <mc:Choice Requires="x14">
            <control shapeId="9218" r:id="rId4" name="Button 2">
              <controlPr defaultSize="0" print="0" autoFill="0" autoPict="0" macro="[0]!SDijkstraALL">
                <anchor moveWithCells="1" sizeWithCells="1">
                  <from>
                    <xdr:col>0</xdr:col>
                    <xdr:colOff>0</xdr:colOff>
                    <xdr:row>12</xdr:row>
                    <xdr:rowOff>19050</xdr:rowOff>
                  </from>
                  <to>
                    <xdr:col>3</xdr:col>
                    <xdr:colOff>361950</xdr:colOff>
                    <xdr:row>14</xdr:row>
                    <xdr:rowOff>147638</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B4677-FD16-42A3-80C7-183B9D753B15}">
  <sheetPr codeName="AsgAON"/>
  <dimension ref="A1:AX45"/>
  <sheetViews>
    <sheetView zoomScale="60" zoomScaleNormal="60" workbookViewId="0">
      <selection activeCell="E10" sqref="E10"/>
    </sheetView>
  </sheetViews>
  <sheetFormatPr defaultColWidth="8.73046875" defaultRowHeight="14.25" x14ac:dyDescent="0.45"/>
  <cols>
    <col min="1" max="1" width="10" style="1" customWidth="1"/>
    <col min="2" max="2" width="9" style="1" bestFit="1" customWidth="1"/>
    <col min="3" max="3" width="5.9296875" style="1" bestFit="1" customWidth="1"/>
    <col min="4" max="4" width="5.73046875" style="1" bestFit="1" customWidth="1"/>
    <col min="5" max="5" width="8.73046875" style="1"/>
    <col min="6" max="50" width="5.796875" style="1" customWidth="1"/>
    <col min="51" max="16384" width="8.73046875" style="1"/>
  </cols>
  <sheetData>
    <row r="1" spans="1:50" x14ac:dyDescent="0.45">
      <c r="A1" s="4" t="s">
        <v>295</v>
      </c>
      <c r="B1" s="4" t="s">
        <v>296</v>
      </c>
      <c r="C1" s="4" t="s">
        <v>297</v>
      </c>
      <c r="D1" s="4" t="s">
        <v>298</v>
      </c>
      <c r="F1" s="4" t="s">
        <v>276</v>
      </c>
      <c r="G1" s="3">
        <v>1</v>
      </c>
      <c r="H1" s="3">
        <v>2</v>
      </c>
      <c r="I1" s="3">
        <v>3</v>
      </c>
      <c r="J1" s="3">
        <v>4</v>
      </c>
      <c r="K1" s="3">
        <v>5</v>
      </c>
      <c r="L1" s="3">
        <v>6</v>
      </c>
      <c r="M1" s="3">
        <v>7</v>
      </c>
      <c r="N1" s="3">
        <v>8</v>
      </c>
      <c r="O1" s="3">
        <v>9</v>
      </c>
      <c r="P1" s="3">
        <v>10</v>
      </c>
      <c r="Q1" s="3">
        <v>11</v>
      </c>
      <c r="R1" s="3">
        <v>12</v>
      </c>
      <c r="S1" s="3">
        <v>13</v>
      </c>
      <c r="T1" s="3">
        <v>14</v>
      </c>
      <c r="U1" s="3">
        <v>15</v>
      </c>
      <c r="V1" s="3">
        <v>16</v>
      </c>
      <c r="W1" s="3">
        <v>17</v>
      </c>
      <c r="X1" s="3">
        <v>18</v>
      </c>
      <c r="Y1" s="3">
        <v>19</v>
      </c>
      <c r="Z1" s="3">
        <v>20</v>
      </c>
      <c r="AA1" s="3">
        <v>21</v>
      </c>
      <c r="AB1" s="3">
        <v>22</v>
      </c>
      <c r="AC1" s="3">
        <v>23</v>
      </c>
      <c r="AD1" s="3">
        <v>24</v>
      </c>
      <c r="AE1" s="3">
        <v>25</v>
      </c>
      <c r="AF1" s="3">
        <v>26</v>
      </c>
      <c r="AG1" s="3">
        <v>27</v>
      </c>
      <c r="AH1" s="3">
        <v>28</v>
      </c>
      <c r="AI1" s="3">
        <v>29</v>
      </c>
      <c r="AJ1" s="3">
        <v>30</v>
      </c>
      <c r="AK1" s="3">
        <v>31</v>
      </c>
      <c r="AL1" s="3">
        <v>32</v>
      </c>
      <c r="AM1" s="3">
        <v>33</v>
      </c>
      <c r="AN1" s="3">
        <v>34</v>
      </c>
      <c r="AO1" s="3">
        <v>35</v>
      </c>
      <c r="AP1" s="3">
        <v>36</v>
      </c>
      <c r="AQ1" s="3">
        <v>37</v>
      </c>
      <c r="AR1" s="3">
        <v>38</v>
      </c>
      <c r="AS1" s="3">
        <v>39</v>
      </c>
      <c r="AT1" s="3">
        <v>40</v>
      </c>
      <c r="AU1" s="3">
        <v>41</v>
      </c>
      <c r="AV1" s="3">
        <v>42</v>
      </c>
      <c r="AW1" s="3">
        <v>43</v>
      </c>
      <c r="AX1" s="3">
        <v>44</v>
      </c>
    </row>
    <row r="2" spans="1:50" x14ac:dyDescent="0.45">
      <c r="A2" s="5" t="s">
        <v>276</v>
      </c>
      <c r="B2" s="1" t="s">
        <v>17</v>
      </c>
      <c r="C2" s="1" t="s">
        <v>299</v>
      </c>
      <c r="F2" s="3">
        <v>1</v>
      </c>
      <c r="G2" s="7">
        <v>0</v>
      </c>
      <c r="H2" s="7">
        <v>0</v>
      </c>
      <c r="I2" s="7">
        <v>0</v>
      </c>
      <c r="J2" s="7">
        <v>0</v>
      </c>
      <c r="K2" s="7">
        <v>0</v>
      </c>
      <c r="L2" s="7">
        <v>0</v>
      </c>
      <c r="M2" s="7">
        <v>0</v>
      </c>
      <c r="N2" s="7">
        <v>0</v>
      </c>
      <c r="O2" s="7">
        <v>0</v>
      </c>
      <c r="P2" s="7">
        <v>0</v>
      </c>
      <c r="Q2" s="7">
        <v>0</v>
      </c>
      <c r="R2" s="7">
        <v>0</v>
      </c>
      <c r="S2" s="7">
        <v>0</v>
      </c>
      <c r="T2" s="7">
        <v>0</v>
      </c>
      <c r="U2" s="7">
        <v>0</v>
      </c>
      <c r="V2" s="7">
        <v>0</v>
      </c>
      <c r="W2" s="7">
        <v>0</v>
      </c>
      <c r="X2" s="7">
        <v>0</v>
      </c>
      <c r="Y2" s="7">
        <v>0</v>
      </c>
      <c r="Z2" s="7">
        <v>0</v>
      </c>
      <c r="AA2" s="7">
        <v>0</v>
      </c>
      <c r="AB2" s="7">
        <v>0</v>
      </c>
      <c r="AC2" s="7">
        <v>0</v>
      </c>
      <c r="AD2" s="7">
        <v>0</v>
      </c>
      <c r="AE2" s="7">
        <v>0</v>
      </c>
      <c r="AF2" s="7">
        <v>0</v>
      </c>
      <c r="AG2" s="7">
        <v>0</v>
      </c>
      <c r="AH2" s="7">
        <v>0</v>
      </c>
      <c r="AI2" s="7">
        <v>0</v>
      </c>
      <c r="AJ2" s="7">
        <v>0</v>
      </c>
      <c r="AK2" s="7">
        <v>0</v>
      </c>
      <c r="AL2" s="7">
        <v>0</v>
      </c>
      <c r="AM2" s="7">
        <v>0</v>
      </c>
      <c r="AN2" s="7">
        <v>0</v>
      </c>
      <c r="AO2" s="7">
        <v>0</v>
      </c>
      <c r="AP2" s="7">
        <v>0</v>
      </c>
      <c r="AQ2" s="7">
        <v>0</v>
      </c>
      <c r="AR2" s="7">
        <v>0</v>
      </c>
      <c r="AS2" s="7">
        <v>0</v>
      </c>
      <c r="AT2" s="7">
        <v>0</v>
      </c>
      <c r="AU2" s="7">
        <v>0</v>
      </c>
      <c r="AV2" s="7">
        <v>0</v>
      </c>
      <c r="AW2" s="7">
        <v>0</v>
      </c>
      <c r="AX2" s="7">
        <v>0</v>
      </c>
    </row>
    <row r="3" spans="1:50" x14ac:dyDescent="0.45">
      <c r="A3" s="5" t="s">
        <v>278</v>
      </c>
      <c r="B3" s="1" t="s">
        <v>17</v>
      </c>
      <c r="C3" s="1" t="s">
        <v>300</v>
      </c>
      <c r="D3" s="1">
        <v>1</v>
      </c>
      <c r="F3" s="3">
        <v>2</v>
      </c>
      <c r="G3" s="7">
        <v>0</v>
      </c>
      <c r="H3" s="7">
        <v>0</v>
      </c>
      <c r="I3" s="7">
        <v>0</v>
      </c>
      <c r="J3" s="7">
        <v>0</v>
      </c>
      <c r="K3" s="7">
        <v>0</v>
      </c>
      <c r="L3" s="7">
        <v>0</v>
      </c>
      <c r="M3" s="7">
        <v>0</v>
      </c>
      <c r="N3" s="7">
        <v>0</v>
      </c>
      <c r="O3" s="7">
        <v>0</v>
      </c>
      <c r="P3" s="7">
        <v>0</v>
      </c>
      <c r="Q3" s="7">
        <v>0</v>
      </c>
      <c r="R3" s="7">
        <v>0</v>
      </c>
      <c r="S3" s="7">
        <v>0</v>
      </c>
      <c r="T3" s="7">
        <v>0</v>
      </c>
      <c r="U3" s="7">
        <v>0</v>
      </c>
      <c r="V3" s="7">
        <v>0</v>
      </c>
      <c r="W3" s="7">
        <v>0</v>
      </c>
      <c r="X3" s="7">
        <v>0</v>
      </c>
      <c r="Y3" s="7">
        <v>0</v>
      </c>
      <c r="Z3" s="7">
        <v>0</v>
      </c>
      <c r="AA3" s="7">
        <v>0</v>
      </c>
      <c r="AB3" s="7">
        <v>0</v>
      </c>
      <c r="AC3" s="7">
        <v>0</v>
      </c>
      <c r="AD3" s="7">
        <v>0</v>
      </c>
      <c r="AE3" s="7">
        <v>0</v>
      </c>
      <c r="AF3" s="7">
        <v>0</v>
      </c>
      <c r="AG3" s="7">
        <v>0</v>
      </c>
      <c r="AH3" s="7">
        <v>0</v>
      </c>
      <c r="AI3" s="7">
        <v>0</v>
      </c>
      <c r="AJ3" s="7">
        <v>0</v>
      </c>
      <c r="AK3" s="7">
        <v>0</v>
      </c>
      <c r="AL3" s="7">
        <v>0</v>
      </c>
      <c r="AM3" s="7">
        <v>0</v>
      </c>
      <c r="AN3" s="7">
        <v>0</v>
      </c>
      <c r="AO3" s="7">
        <v>0</v>
      </c>
      <c r="AP3" s="7">
        <v>0</v>
      </c>
      <c r="AQ3" s="7">
        <v>0</v>
      </c>
      <c r="AR3" s="7">
        <v>0</v>
      </c>
      <c r="AS3" s="7">
        <v>0</v>
      </c>
      <c r="AT3" s="7">
        <v>0</v>
      </c>
      <c r="AU3" s="7">
        <v>0</v>
      </c>
      <c r="AV3" s="7">
        <v>0</v>
      </c>
      <c r="AW3" s="7">
        <v>0</v>
      </c>
      <c r="AX3" s="7">
        <v>0</v>
      </c>
    </row>
    <row r="4" spans="1:50" x14ac:dyDescent="0.45">
      <c r="F4" s="3">
        <v>3</v>
      </c>
      <c r="G4" s="7">
        <v>0</v>
      </c>
      <c r="H4" s="7">
        <v>0</v>
      </c>
      <c r="I4" s="7">
        <v>0</v>
      </c>
      <c r="J4" s="7">
        <v>0</v>
      </c>
      <c r="K4" s="7">
        <v>0</v>
      </c>
      <c r="L4" s="7">
        <v>0</v>
      </c>
      <c r="M4" s="7">
        <v>0</v>
      </c>
      <c r="N4" s="7">
        <v>0</v>
      </c>
      <c r="O4" s="7">
        <v>0</v>
      </c>
      <c r="P4" s="7">
        <v>0</v>
      </c>
      <c r="Q4" s="7">
        <v>0</v>
      </c>
      <c r="R4" s="7">
        <v>0</v>
      </c>
      <c r="S4" s="7">
        <v>0</v>
      </c>
      <c r="T4" s="7">
        <v>0</v>
      </c>
      <c r="U4" s="7">
        <v>0</v>
      </c>
      <c r="V4" s="7">
        <v>0</v>
      </c>
      <c r="W4" s="7">
        <v>0</v>
      </c>
      <c r="X4" s="7">
        <v>0</v>
      </c>
      <c r="Y4" s="7">
        <v>0</v>
      </c>
      <c r="Z4" s="7">
        <v>0</v>
      </c>
      <c r="AA4" s="7">
        <v>0</v>
      </c>
      <c r="AB4" s="7">
        <v>0</v>
      </c>
      <c r="AC4" s="7">
        <v>0</v>
      </c>
      <c r="AD4" s="7">
        <v>0</v>
      </c>
      <c r="AE4" s="7">
        <v>0</v>
      </c>
      <c r="AF4" s="7">
        <v>0</v>
      </c>
      <c r="AG4" s="7">
        <v>0</v>
      </c>
      <c r="AH4" s="7">
        <v>0</v>
      </c>
      <c r="AI4" s="7">
        <v>0</v>
      </c>
      <c r="AJ4" s="7">
        <v>0</v>
      </c>
      <c r="AK4" s="7">
        <v>0</v>
      </c>
      <c r="AL4" s="7">
        <v>0</v>
      </c>
      <c r="AM4" s="7">
        <v>0</v>
      </c>
      <c r="AN4" s="7">
        <v>0</v>
      </c>
      <c r="AO4" s="7">
        <v>0</v>
      </c>
      <c r="AP4" s="7">
        <v>0</v>
      </c>
      <c r="AQ4" s="7">
        <v>0</v>
      </c>
      <c r="AR4" s="7">
        <v>0</v>
      </c>
      <c r="AS4" s="7">
        <v>0</v>
      </c>
      <c r="AT4" s="7">
        <v>0</v>
      </c>
      <c r="AU4" s="7">
        <v>0</v>
      </c>
      <c r="AV4" s="7">
        <v>0</v>
      </c>
      <c r="AW4" s="7">
        <v>0</v>
      </c>
      <c r="AX4" s="7">
        <v>0</v>
      </c>
    </row>
    <row r="5" spans="1:50" x14ac:dyDescent="0.45">
      <c r="F5" s="3">
        <v>4</v>
      </c>
      <c r="G5" s="7">
        <v>0</v>
      </c>
      <c r="H5" s="7">
        <v>0</v>
      </c>
      <c r="I5" s="7">
        <v>0</v>
      </c>
      <c r="J5" s="7">
        <v>0</v>
      </c>
      <c r="K5" s="7">
        <v>0</v>
      </c>
      <c r="L5" s="7">
        <v>0</v>
      </c>
      <c r="M5" s="7">
        <v>0</v>
      </c>
      <c r="N5" s="7">
        <v>0</v>
      </c>
      <c r="O5" s="7">
        <v>0</v>
      </c>
      <c r="P5" s="7">
        <v>0</v>
      </c>
      <c r="Q5" s="7">
        <v>0</v>
      </c>
      <c r="R5" s="7">
        <v>0</v>
      </c>
      <c r="S5" s="7">
        <v>0</v>
      </c>
      <c r="T5" s="7">
        <v>0</v>
      </c>
      <c r="U5" s="7">
        <v>0</v>
      </c>
      <c r="V5" s="7">
        <v>0</v>
      </c>
      <c r="W5" s="7">
        <v>0</v>
      </c>
      <c r="X5" s="7">
        <v>0</v>
      </c>
      <c r="Y5" s="7">
        <v>0</v>
      </c>
      <c r="Z5" s="7">
        <v>0</v>
      </c>
      <c r="AA5" s="7">
        <v>0</v>
      </c>
      <c r="AB5" s="7">
        <v>0</v>
      </c>
      <c r="AC5" s="7">
        <v>0</v>
      </c>
      <c r="AD5" s="7">
        <v>0</v>
      </c>
      <c r="AE5" s="7">
        <v>0</v>
      </c>
      <c r="AF5" s="7">
        <v>0</v>
      </c>
      <c r="AG5" s="7">
        <v>0</v>
      </c>
      <c r="AH5" s="7">
        <v>0</v>
      </c>
      <c r="AI5" s="7">
        <v>0</v>
      </c>
      <c r="AJ5" s="7">
        <v>0</v>
      </c>
      <c r="AK5" s="7">
        <v>0</v>
      </c>
      <c r="AL5" s="7">
        <v>0</v>
      </c>
      <c r="AM5" s="7">
        <v>0</v>
      </c>
      <c r="AN5" s="7">
        <v>0</v>
      </c>
      <c r="AO5" s="7">
        <v>0</v>
      </c>
      <c r="AP5" s="7">
        <v>0</v>
      </c>
      <c r="AQ5" s="7">
        <v>0</v>
      </c>
      <c r="AR5" s="7">
        <v>0</v>
      </c>
      <c r="AS5" s="7">
        <v>0</v>
      </c>
      <c r="AT5" s="7">
        <v>0</v>
      </c>
      <c r="AU5" s="7">
        <v>0</v>
      </c>
      <c r="AV5" s="7">
        <v>0</v>
      </c>
      <c r="AW5" s="7">
        <v>0</v>
      </c>
      <c r="AX5" s="7">
        <v>0</v>
      </c>
    </row>
    <row r="6" spans="1:50" x14ac:dyDescent="0.45">
      <c r="F6" s="3">
        <v>5</v>
      </c>
      <c r="G6" s="7">
        <v>0</v>
      </c>
      <c r="H6" s="7">
        <v>0</v>
      </c>
      <c r="I6" s="7">
        <v>0</v>
      </c>
      <c r="J6" s="7">
        <v>0</v>
      </c>
      <c r="K6" s="7">
        <v>0</v>
      </c>
      <c r="L6" s="7">
        <v>0</v>
      </c>
      <c r="M6" s="7">
        <v>0</v>
      </c>
      <c r="N6" s="7">
        <v>0</v>
      </c>
      <c r="O6" s="7">
        <v>0</v>
      </c>
      <c r="P6" s="7">
        <v>0</v>
      </c>
      <c r="Q6" s="7">
        <v>0</v>
      </c>
      <c r="R6" s="7">
        <v>0</v>
      </c>
      <c r="S6" s="7">
        <v>0</v>
      </c>
      <c r="T6" s="7">
        <v>0</v>
      </c>
      <c r="U6" s="7">
        <v>0</v>
      </c>
      <c r="V6" s="7">
        <v>0</v>
      </c>
      <c r="W6" s="7">
        <v>0</v>
      </c>
      <c r="X6" s="7">
        <v>0</v>
      </c>
      <c r="Y6" s="7">
        <v>0</v>
      </c>
      <c r="Z6" s="7">
        <v>0</v>
      </c>
      <c r="AA6" s="7">
        <v>0</v>
      </c>
      <c r="AB6" s="7">
        <v>0</v>
      </c>
      <c r="AC6" s="7">
        <v>0</v>
      </c>
      <c r="AD6" s="7">
        <v>0</v>
      </c>
      <c r="AE6" s="7">
        <v>0</v>
      </c>
      <c r="AF6" s="7">
        <v>0</v>
      </c>
      <c r="AG6" s="7">
        <v>0</v>
      </c>
      <c r="AH6" s="7">
        <v>0</v>
      </c>
      <c r="AI6" s="7">
        <v>0</v>
      </c>
      <c r="AJ6" s="7">
        <v>0</v>
      </c>
      <c r="AK6" s="7">
        <v>0</v>
      </c>
      <c r="AL6" s="7">
        <v>0</v>
      </c>
      <c r="AM6" s="7">
        <v>0</v>
      </c>
      <c r="AN6" s="7">
        <v>0</v>
      </c>
      <c r="AO6" s="7">
        <v>0</v>
      </c>
      <c r="AP6" s="7">
        <v>0</v>
      </c>
      <c r="AQ6" s="7">
        <v>0</v>
      </c>
      <c r="AR6" s="7">
        <v>0</v>
      </c>
      <c r="AS6" s="7">
        <v>0</v>
      </c>
      <c r="AT6" s="7">
        <v>0</v>
      </c>
      <c r="AU6" s="7">
        <v>0</v>
      </c>
      <c r="AV6" s="7">
        <v>0</v>
      </c>
      <c r="AW6" s="7">
        <v>0</v>
      </c>
      <c r="AX6" s="7">
        <v>0</v>
      </c>
    </row>
    <row r="7" spans="1:50" x14ac:dyDescent="0.45">
      <c r="F7" s="3">
        <v>6</v>
      </c>
      <c r="G7" s="7">
        <v>0</v>
      </c>
      <c r="H7" s="7">
        <v>0</v>
      </c>
      <c r="I7" s="7">
        <v>0</v>
      </c>
      <c r="J7" s="7">
        <v>0</v>
      </c>
      <c r="K7" s="7">
        <v>0</v>
      </c>
      <c r="L7" s="7">
        <v>0</v>
      </c>
      <c r="M7" s="7">
        <v>0</v>
      </c>
      <c r="N7" s="7">
        <v>0</v>
      </c>
      <c r="O7" s="7">
        <v>0</v>
      </c>
      <c r="P7" s="7">
        <v>0</v>
      </c>
      <c r="Q7" s="7">
        <v>0</v>
      </c>
      <c r="R7" s="7">
        <v>0</v>
      </c>
      <c r="S7" s="7">
        <v>0</v>
      </c>
      <c r="T7" s="7">
        <v>0</v>
      </c>
      <c r="U7" s="7">
        <v>0</v>
      </c>
      <c r="V7" s="7">
        <v>0</v>
      </c>
      <c r="W7" s="7">
        <v>0</v>
      </c>
      <c r="X7" s="7">
        <v>0</v>
      </c>
      <c r="Y7" s="7">
        <v>0</v>
      </c>
      <c r="Z7" s="7">
        <v>0</v>
      </c>
      <c r="AA7" s="7">
        <v>0</v>
      </c>
      <c r="AB7" s="7">
        <v>0</v>
      </c>
      <c r="AC7" s="7">
        <v>0</v>
      </c>
      <c r="AD7" s="7">
        <v>0</v>
      </c>
      <c r="AE7" s="7">
        <v>0</v>
      </c>
      <c r="AF7" s="7">
        <v>0</v>
      </c>
      <c r="AG7" s="7">
        <v>0</v>
      </c>
      <c r="AH7" s="7">
        <v>0</v>
      </c>
      <c r="AI7" s="7">
        <v>0</v>
      </c>
      <c r="AJ7" s="7">
        <v>0</v>
      </c>
      <c r="AK7" s="7">
        <v>0</v>
      </c>
      <c r="AL7" s="7">
        <v>0</v>
      </c>
      <c r="AM7" s="7">
        <v>0</v>
      </c>
      <c r="AN7" s="7">
        <v>0</v>
      </c>
      <c r="AO7" s="7">
        <v>0</v>
      </c>
      <c r="AP7" s="7">
        <v>0</v>
      </c>
      <c r="AQ7" s="7">
        <v>0</v>
      </c>
      <c r="AR7" s="7">
        <v>0</v>
      </c>
      <c r="AS7" s="7">
        <v>0</v>
      </c>
      <c r="AT7" s="7">
        <v>0</v>
      </c>
      <c r="AU7" s="7">
        <v>0</v>
      </c>
      <c r="AV7" s="7">
        <v>0</v>
      </c>
      <c r="AW7" s="7">
        <v>0</v>
      </c>
      <c r="AX7" s="7">
        <v>0</v>
      </c>
    </row>
    <row r="8" spans="1:50" x14ac:dyDescent="0.45">
      <c r="F8" s="3">
        <v>7</v>
      </c>
      <c r="G8" s="7">
        <v>0</v>
      </c>
      <c r="H8" s="7">
        <v>0</v>
      </c>
      <c r="I8" s="7">
        <v>0</v>
      </c>
      <c r="J8" s="7">
        <v>0</v>
      </c>
      <c r="K8" s="7">
        <v>0</v>
      </c>
      <c r="L8" s="7">
        <v>0</v>
      </c>
      <c r="M8" s="7">
        <v>0</v>
      </c>
      <c r="N8" s="7">
        <v>0</v>
      </c>
      <c r="O8" s="7">
        <v>0</v>
      </c>
      <c r="P8" s="7">
        <v>0</v>
      </c>
      <c r="Q8" s="7">
        <v>0</v>
      </c>
      <c r="R8" s="7">
        <v>0</v>
      </c>
      <c r="S8" s="7">
        <v>0</v>
      </c>
      <c r="T8" s="7">
        <v>0</v>
      </c>
      <c r="U8" s="7">
        <v>0</v>
      </c>
      <c r="V8" s="7">
        <v>0</v>
      </c>
      <c r="W8" s="7">
        <v>0</v>
      </c>
      <c r="X8" s="7">
        <v>0</v>
      </c>
      <c r="Y8" s="7">
        <v>0</v>
      </c>
      <c r="Z8" s="7">
        <v>0</v>
      </c>
      <c r="AA8" s="7">
        <v>0</v>
      </c>
      <c r="AB8" s="7">
        <v>0</v>
      </c>
      <c r="AC8" s="7">
        <v>0</v>
      </c>
      <c r="AD8" s="7">
        <v>0</v>
      </c>
      <c r="AE8" s="7">
        <v>0</v>
      </c>
      <c r="AF8" s="7">
        <v>0</v>
      </c>
      <c r="AG8" s="7">
        <v>0</v>
      </c>
      <c r="AH8" s="7">
        <v>0</v>
      </c>
      <c r="AI8" s="7">
        <v>0</v>
      </c>
      <c r="AJ8" s="7">
        <v>0</v>
      </c>
      <c r="AK8" s="7">
        <v>0</v>
      </c>
      <c r="AL8" s="7">
        <v>0</v>
      </c>
      <c r="AM8" s="7">
        <v>0</v>
      </c>
      <c r="AN8" s="7">
        <v>0</v>
      </c>
      <c r="AO8" s="7">
        <v>0</v>
      </c>
      <c r="AP8" s="7">
        <v>0</v>
      </c>
      <c r="AQ8" s="7">
        <v>0</v>
      </c>
      <c r="AR8" s="7">
        <v>0</v>
      </c>
      <c r="AS8" s="7">
        <v>0</v>
      </c>
      <c r="AT8" s="7">
        <v>0</v>
      </c>
      <c r="AU8" s="7">
        <v>0</v>
      </c>
      <c r="AV8" s="7">
        <v>0</v>
      </c>
      <c r="AW8" s="7">
        <v>0</v>
      </c>
      <c r="AX8" s="7">
        <v>0</v>
      </c>
    </row>
    <row r="9" spans="1:50" x14ac:dyDescent="0.45">
      <c r="F9" s="3">
        <v>8</v>
      </c>
      <c r="G9" s="7">
        <v>0</v>
      </c>
      <c r="H9" s="7">
        <v>0</v>
      </c>
      <c r="I9" s="7">
        <v>0</v>
      </c>
      <c r="J9" s="7">
        <v>0</v>
      </c>
      <c r="K9" s="7">
        <v>0</v>
      </c>
      <c r="L9" s="7">
        <v>0</v>
      </c>
      <c r="M9" s="7">
        <v>0</v>
      </c>
      <c r="N9" s="7">
        <v>0</v>
      </c>
      <c r="O9" s="7">
        <v>0</v>
      </c>
      <c r="P9" s="7">
        <v>0</v>
      </c>
      <c r="Q9" s="7">
        <v>0</v>
      </c>
      <c r="R9" s="7">
        <v>0</v>
      </c>
      <c r="S9" s="7">
        <v>0</v>
      </c>
      <c r="T9" s="7">
        <v>0</v>
      </c>
      <c r="U9" s="7">
        <v>0</v>
      </c>
      <c r="V9" s="7">
        <v>0</v>
      </c>
      <c r="W9" s="7">
        <v>0</v>
      </c>
      <c r="X9" s="7">
        <v>0</v>
      </c>
      <c r="Y9" s="7">
        <v>0</v>
      </c>
      <c r="Z9" s="7">
        <v>0</v>
      </c>
      <c r="AA9" s="7">
        <v>0</v>
      </c>
      <c r="AB9" s="7">
        <v>0</v>
      </c>
      <c r="AC9" s="7">
        <v>0</v>
      </c>
      <c r="AD9" s="7">
        <v>0</v>
      </c>
      <c r="AE9" s="7">
        <v>0</v>
      </c>
      <c r="AF9" s="7">
        <v>0</v>
      </c>
      <c r="AG9" s="7">
        <v>0</v>
      </c>
      <c r="AH9" s="7">
        <v>0</v>
      </c>
      <c r="AI9" s="7">
        <v>0</v>
      </c>
      <c r="AJ9" s="7">
        <v>0</v>
      </c>
      <c r="AK9" s="7">
        <v>0</v>
      </c>
      <c r="AL9" s="7">
        <v>0</v>
      </c>
      <c r="AM9" s="7">
        <v>0</v>
      </c>
      <c r="AN9" s="7">
        <v>0</v>
      </c>
      <c r="AO9" s="7">
        <v>0</v>
      </c>
      <c r="AP9" s="7">
        <v>0</v>
      </c>
      <c r="AQ9" s="7">
        <v>0</v>
      </c>
      <c r="AR9" s="7">
        <v>0</v>
      </c>
      <c r="AS9" s="7">
        <v>0</v>
      </c>
      <c r="AT9" s="7">
        <v>0</v>
      </c>
      <c r="AU9" s="7">
        <v>0</v>
      </c>
      <c r="AV9" s="7">
        <v>0</v>
      </c>
      <c r="AW9" s="7">
        <v>0</v>
      </c>
      <c r="AX9" s="7">
        <v>0</v>
      </c>
    </row>
    <row r="10" spans="1:50" x14ac:dyDescent="0.45">
      <c r="F10" s="3">
        <v>9</v>
      </c>
      <c r="G10" s="7">
        <v>0</v>
      </c>
      <c r="H10" s="7">
        <v>0</v>
      </c>
      <c r="I10" s="7">
        <v>0</v>
      </c>
      <c r="J10" s="7">
        <v>0</v>
      </c>
      <c r="K10" s="7">
        <v>0</v>
      </c>
      <c r="L10" s="7">
        <v>0</v>
      </c>
      <c r="M10" s="7">
        <v>0</v>
      </c>
      <c r="N10" s="7">
        <v>0</v>
      </c>
      <c r="O10" s="7">
        <v>0</v>
      </c>
      <c r="P10" s="7">
        <v>2892.7895050109832</v>
      </c>
      <c r="Q10" s="7">
        <v>0</v>
      </c>
      <c r="R10" s="7">
        <v>0</v>
      </c>
      <c r="S10" s="7">
        <v>0</v>
      </c>
      <c r="T10" s="7">
        <v>0</v>
      </c>
      <c r="U10" s="7">
        <v>0</v>
      </c>
      <c r="V10" s="7">
        <v>0</v>
      </c>
      <c r="W10" s="7">
        <v>0</v>
      </c>
      <c r="X10" s="7">
        <v>0</v>
      </c>
      <c r="Y10" s="7">
        <v>0</v>
      </c>
      <c r="Z10" s="7">
        <v>0</v>
      </c>
      <c r="AA10" s="7">
        <v>0</v>
      </c>
      <c r="AB10" s="7">
        <v>0</v>
      </c>
      <c r="AC10" s="7">
        <v>0</v>
      </c>
      <c r="AD10" s="7">
        <v>6657.3430258075268</v>
      </c>
      <c r="AE10" s="7">
        <v>0</v>
      </c>
      <c r="AF10" s="7">
        <v>0</v>
      </c>
      <c r="AG10" s="7">
        <v>0</v>
      </c>
      <c r="AH10" s="7">
        <v>0</v>
      </c>
      <c r="AI10" s="7">
        <v>0</v>
      </c>
      <c r="AJ10" s="7">
        <v>0</v>
      </c>
      <c r="AK10" s="7">
        <v>0</v>
      </c>
      <c r="AL10" s="7">
        <v>0</v>
      </c>
      <c r="AM10" s="7">
        <v>0</v>
      </c>
      <c r="AN10" s="7">
        <v>0</v>
      </c>
      <c r="AO10" s="7">
        <v>0</v>
      </c>
      <c r="AP10" s="7">
        <v>0</v>
      </c>
      <c r="AQ10" s="7">
        <v>0</v>
      </c>
      <c r="AR10" s="7">
        <v>0</v>
      </c>
      <c r="AS10" s="7">
        <v>0</v>
      </c>
      <c r="AT10" s="7">
        <v>0</v>
      </c>
      <c r="AU10" s="7">
        <v>0</v>
      </c>
      <c r="AV10" s="7">
        <v>0</v>
      </c>
      <c r="AW10" s="7">
        <v>0</v>
      </c>
      <c r="AX10" s="7">
        <v>0</v>
      </c>
    </row>
    <row r="11" spans="1:50" x14ac:dyDescent="0.45">
      <c r="F11" s="3">
        <v>10</v>
      </c>
      <c r="G11" s="7">
        <v>0</v>
      </c>
      <c r="H11" s="7">
        <v>0</v>
      </c>
      <c r="I11" s="7">
        <v>0</v>
      </c>
      <c r="J11" s="7">
        <v>0</v>
      </c>
      <c r="K11" s="7">
        <v>0</v>
      </c>
      <c r="L11" s="7">
        <v>0</v>
      </c>
      <c r="M11" s="7">
        <v>0</v>
      </c>
      <c r="N11" s="7">
        <v>0</v>
      </c>
      <c r="O11" s="7">
        <v>2864.8095138464023</v>
      </c>
      <c r="P11" s="7">
        <v>0</v>
      </c>
      <c r="Q11" s="7">
        <v>2892.7895050109832</v>
      </c>
      <c r="R11" s="7">
        <v>0</v>
      </c>
      <c r="S11" s="7">
        <v>0</v>
      </c>
      <c r="T11" s="7">
        <v>0</v>
      </c>
      <c r="U11" s="7">
        <v>0</v>
      </c>
      <c r="V11" s="7">
        <v>0</v>
      </c>
      <c r="W11" s="7">
        <v>0</v>
      </c>
      <c r="X11" s="7">
        <v>0</v>
      </c>
      <c r="Y11" s="7">
        <v>0</v>
      </c>
      <c r="Z11" s="7">
        <v>0</v>
      </c>
      <c r="AA11" s="7">
        <v>0</v>
      </c>
      <c r="AB11" s="7">
        <v>0</v>
      </c>
      <c r="AC11" s="7">
        <v>0</v>
      </c>
      <c r="AD11" s="7">
        <v>0</v>
      </c>
      <c r="AE11" s="7">
        <v>0</v>
      </c>
      <c r="AF11" s="7">
        <v>0</v>
      </c>
      <c r="AG11" s="7">
        <v>0</v>
      </c>
      <c r="AH11" s="7">
        <v>0</v>
      </c>
      <c r="AI11" s="7">
        <v>0</v>
      </c>
      <c r="AJ11" s="7">
        <v>0</v>
      </c>
      <c r="AK11" s="7">
        <v>0</v>
      </c>
      <c r="AL11" s="7">
        <v>0</v>
      </c>
      <c r="AM11" s="7">
        <v>0</v>
      </c>
      <c r="AN11" s="7">
        <v>0</v>
      </c>
      <c r="AO11" s="7">
        <v>0</v>
      </c>
      <c r="AP11" s="7">
        <v>0</v>
      </c>
      <c r="AQ11" s="7">
        <v>0</v>
      </c>
      <c r="AR11" s="7">
        <v>0</v>
      </c>
      <c r="AS11" s="7">
        <v>0</v>
      </c>
      <c r="AT11" s="7">
        <v>0</v>
      </c>
      <c r="AU11" s="7">
        <v>0</v>
      </c>
      <c r="AV11" s="7">
        <v>0</v>
      </c>
      <c r="AW11" s="7">
        <v>0</v>
      </c>
      <c r="AX11" s="7">
        <v>0</v>
      </c>
    </row>
    <row r="12" spans="1:50" x14ac:dyDescent="0.45">
      <c r="F12" s="3">
        <v>11</v>
      </c>
      <c r="G12" s="7">
        <v>0</v>
      </c>
      <c r="H12" s="7">
        <v>0</v>
      </c>
      <c r="I12" s="7">
        <v>0</v>
      </c>
      <c r="J12" s="7">
        <v>0</v>
      </c>
      <c r="K12" s="7">
        <v>0</v>
      </c>
      <c r="L12" s="7">
        <v>0</v>
      </c>
      <c r="M12" s="7">
        <v>0</v>
      </c>
      <c r="N12" s="7">
        <v>0</v>
      </c>
      <c r="O12" s="7">
        <v>0</v>
      </c>
      <c r="P12" s="7">
        <v>2864.8095138464023</v>
      </c>
      <c r="Q12" s="7">
        <v>0</v>
      </c>
      <c r="R12" s="7">
        <v>2892.7895050109832</v>
      </c>
      <c r="S12" s="7">
        <v>0</v>
      </c>
      <c r="T12" s="7">
        <v>0</v>
      </c>
      <c r="U12" s="7">
        <v>0</v>
      </c>
      <c r="V12" s="7">
        <v>0</v>
      </c>
      <c r="W12" s="7">
        <v>0</v>
      </c>
      <c r="X12" s="7">
        <v>0</v>
      </c>
      <c r="Y12" s="7">
        <v>0</v>
      </c>
      <c r="Z12" s="7">
        <v>0</v>
      </c>
      <c r="AA12" s="7">
        <v>0</v>
      </c>
      <c r="AB12" s="7">
        <v>0</v>
      </c>
      <c r="AC12" s="7">
        <v>0</v>
      </c>
      <c r="AD12" s="7">
        <v>0</v>
      </c>
      <c r="AE12" s="7">
        <v>0</v>
      </c>
      <c r="AF12" s="7">
        <v>0</v>
      </c>
      <c r="AG12" s="7">
        <v>0</v>
      </c>
      <c r="AH12" s="7">
        <v>0</v>
      </c>
      <c r="AI12" s="7">
        <v>0</v>
      </c>
      <c r="AJ12" s="7">
        <v>0</v>
      </c>
      <c r="AK12" s="7">
        <v>0</v>
      </c>
      <c r="AL12" s="7">
        <v>0</v>
      </c>
      <c r="AM12" s="7">
        <v>0</v>
      </c>
      <c r="AN12" s="7">
        <v>0</v>
      </c>
      <c r="AO12" s="7">
        <v>0</v>
      </c>
      <c r="AP12" s="7">
        <v>0</v>
      </c>
      <c r="AQ12" s="7">
        <v>0</v>
      </c>
      <c r="AR12" s="7">
        <v>0</v>
      </c>
      <c r="AS12" s="7">
        <v>0</v>
      </c>
      <c r="AT12" s="7">
        <v>0</v>
      </c>
      <c r="AU12" s="7">
        <v>0</v>
      </c>
      <c r="AV12" s="7">
        <v>0</v>
      </c>
      <c r="AW12" s="7">
        <v>0</v>
      </c>
      <c r="AX12" s="7">
        <v>0</v>
      </c>
    </row>
    <row r="13" spans="1:50" x14ac:dyDescent="0.45">
      <c r="F13" s="3">
        <v>12</v>
      </c>
      <c r="G13" s="7">
        <v>0</v>
      </c>
      <c r="H13" s="7">
        <v>0</v>
      </c>
      <c r="I13" s="7">
        <v>0</v>
      </c>
      <c r="J13" s="7">
        <v>0</v>
      </c>
      <c r="K13" s="7">
        <v>0</v>
      </c>
      <c r="L13" s="7">
        <v>0</v>
      </c>
      <c r="M13" s="7">
        <v>0</v>
      </c>
      <c r="N13" s="7">
        <v>0</v>
      </c>
      <c r="O13" s="7">
        <v>0</v>
      </c>
      <c r="P13" s="7">
        <v>0</v>
      </c>
      <c r="Q13" s="7">
        <v>2864.8095138464023</v>
      </c>
      <c r="R13" s="7">
        <v>0</v>
      </c>
      <c r="S13" s="7">
        <v>2777.4476065882673</v>
      </c>
      <c r="T13" s="7">
        <v>0</v>
      </c>
      <c r="U13" s="7">
        <v>0</v>
      </c>
      <c r="V13" s="7">
        <v>0</v>
      </c>
      <c r="W13" s="7">
        <v>0</v>
      </c>
      <c r="X13" s="7">
        <v>0</v>
      </c>
      <c r="Y13" s="7">
        <v>0</v>
      </c>
      <c r="Z13" s="7">
        <v>0</v>
      </c>
      <c r="AA13" s="7">
        <v>0</v>
      </c>
      <c r="AB13" s="7">
        <v>0</v>
      </c>
      <c r="AC13" s="7">
        <v>0</v>
      </c>
      <c r="AD13" s="7">
        <v>0</v>
      </c>
      <c r="AE13" s="7">
        <v>0</v>
      </c>
      <c r="AF13" s="7">
        <v>0</v>
      </c>
      <c r="AG13" s="7">
        <v>6728.0638516892122</v>
      </c>
      <c r="AH13" s="7">
        <v>0</v>
      </c>
      <c r="AI13" s="7">
        <v>0</v>
      </c>
      <c r="AJ13" s="7">
        <v>0</v>
      </c>
      <c r="AK13" s="7">
        <v>0</v>
      </c>
      <c r="AL13" s="7">
        <v>0</v>
      </c>
      <c r="AM13" s="7">
        <v>0</v>
      </c>
      <c r="AN13" s="7">
        <v>0</v>
      </c>
      <c r="AO13" s="7">
        <v>0</v>
      </c>
      <c r="AP13" s="7">
        <v>0</v>
      </c>
      <c r="AQ13" s="7">
        <v>0</v>
      </c>
      <c r="AR13" s="7">
        <v>0</v>
      </c>
      <c r="AS13" s="7">
        <v>0</v>
      </c>
      <c r="AT13" s="7">
        <v>0</v>
      </c>
      <c r="AU13" s="7">
        <v>0</v>
      </c>
      <c r="AV13" s="7">
        <v>0</v>
      </c>
      <c r="AW13" s="7">
        <v>0</v>
      </c>
      <c r="AX13" s="7">
        <v>0</v>
      </c>
    </row>
    <row r="14" spans="1:50" x14ac:dyDescent="0.45">
      <c r="F14" s="3">
        <v>13</v>
      </c>
      <c r="G14" s="7">
        <v>0</v>
      </c>
      <c r="H14" s="7">
        <v>0</v>
      </c>
      <c r="I14" s="7">
        <v>0</v>
      </c>
      <c r="J14" s="7">
        <v>0</v>
      </c>
      <c r="K14" s="7">
        <v>0</v>
      </c>
      <c r="L14" s="7">
        <v>0</v>
      </c>
      <c r="M14" s="7">
        <v>0</v>
      </c>
      <c r="N14" s="7">
        <v>0</v>
      </c>
      <c r="O14" s="7">
        <v>0</v>
      </c>
      <c r="P14" s="7">
        <v>0</v>
      </c>
      <c r="Q14" s="7">
        <v>0</v>
      </c>
      <c r="R14" s="7">
        <v>2782.4673235539426</v>
      </c>
      <c r="S14" s="7">
        <v>0</v>
      </c>
      <c r="T14" s="7">
        <v>0</v>
      </c>
      <c r="U14" s="7">
        <v>0</v>
      </c>
      <c r="V14" s="7">
        <v>0</v>
      </c>
      <c r="W14" s="7">
        <v>0</v>
      </c>
      <c r="X14" s="7">
        <v>0</v>
      </c>
      <c r="Y14" s="7">
        <v>0</v>
      </c>
      <c r="Z14" s="7">
        <v>0</v>
      </c>
      <c r="AA14" s="7">
        <v>0</v>
      </c>
      <c r="AB14" s="7">
        <v>0</v>
      </c>
      <c r="AC14" s="7">
        <v>0</v>
      </c>
      <c r="AD14" s="7">
        <v>0</v>
      </c>
      <c r="AE14" s="7">
        <v>0</v>
      </c>
      <c r="AF14" s="7">
        <v>0</v>
      </c>
      <c r="AG14" s="7">
        <v>0</v>
      </c>
      <c r="AH14" s="7">
        <v>0</v>
      </c>
      <c r="AI14" s="7">
        <v>2777.4476065882673</v>
      </c>
      <c r="AJ14" s="7">
        <v>0</v>
      </c>
      <c r="AK14" s="7">
        <v>0</v>
      </c>
      <c r="AL14" s="7">
        <v>0</v>
      </c>
      <c r="AM14" s="7">
        <v>0</v>
      </c>
      <c r="AN14" s="7">
        <v>0</v>
      </c>
      <c r="AO14" s="7">
        <v>0</v>
      </c>
      <c r="AP14" s="7">
        <v>0</v>
      </c>
      <c r="AQ14" s="7">
        <v>0</v>
      </c>
      <c r="AR14" s="7">
        <v>0</v>
      </c>
      <c r="AS14" s="7">
        <v>0</v>
      </c>
      <c r="AT14" s="7">
        <v>0</v>
      </c>
      <c r="AU14" s="7">
        <v>0</v>
      </c>
      <c r="AV14" s="7">
        <v>0</v>
      </c>
      <c r="AW14" s="7">
        <v>0</v>
      </c>
      <c r="AX14" s="7">
        <v>0</v>
      </c>
    </row>
    <row r="15" spans="1:50" ht="14.55" customHeight="1" x14ac:dyDescent="0.45">
      <c r="A15" s="27" t="s">
        <v>394</v>
      </c>
      <c r="B15" s="27"/>
      <c r="C15" s="27"/>
      <c r="D15" s="27"/>
      <c r="F15" s="3">
        <v>14</v>
      </c>
      <c r="G15" s="7">
        <v>0</v>
      </c>
      <c r="H15" s="7">
        <v>0</v>
      </c>
      <c r="I15" s="7">
        <v>0</v>
      </c>
      <c r="J15" s="7">
        <v>0</v>
      </c>
      <c r="K15" s="7">
        <v>0</v>
      </c>
      <c r="L15" s="7">
        <v>0</v>
      </c>
      <c r="M15" s="7">
        <v>0</v>
      </c>
      <c r="N15" s="7">
        <v>0</v>
      </c>
      <c r="O15" s="7">
        <v>0</v>
      </c>
      <c r="P15" s="7">
        <v>0</v>
      </c>
      <c r="Q15" s="7">
        <v>0</v>
      </c>
      <c r="R15" s="7">
        <v>0</v>
      </c>
      <c r="S15" s="7">
        <v>0</v>
      </c>
      <c r="T15" s="7">
        <v>0</v>
      </c>
      <c r="U15" s="7">
        <v>0</v>
      </c>
      <c r="V15" s="7">
        <v>0</v>
      </c>
      <c r="W15" s="7">
        <v>0</v>
      </c>
      <c r="X15" s="7">
        <v>0</v>
      </c>
      <c r="Y15" s="7">
        <v>0</v>
      </c>
      <c r="Z15" s="7">
        <v>0</v>
      </c>
      <c r="AA15" s="7">
        <v>0</v>
      </c>
      <c r="AB15" s="7">
        <v>0</v>
      </c>
      <c r="AC15" s="7">
        <v>0</v>
      </c>
      <c r="AD15" s="7">
        <v>0</v>
      </c>
      <c r="AE15" s="7">
        <v>0</v>
      </c>
      <c r="AF15" s="7">
        <v>0</v>
      </c>
      <c r="AG15" s="7">
        <v>0</v>
      </c>
      <c r="AH15" s="7">
        <v>0</v>
      </c>
      <c r="AI15" s="7">
        <v>0</v>
      </c>
      <c r="AJ15" s="7">
        <v>0</v>
      </c>
      <c r="AK15" s="7">
        <v>0</v>
      </c>
      <c r="AL15" s="7">
        <v>0</v>
      </c>
      <c r="AM15" s="7">
        <v>0</v>
      </c>
      <c r="AN15" s="7">
        <v>0</v>
      </c>
      <c r="AO15" s="7">
        <v>0</v>
      </c>
      <c r="AP15" s="7">
        <v>0</v>
      </c>
      <c r="AQ15" s="7">
        <v>0</v>
      </c>
      <c r="AR15" s="7">
        <v>0</v>
      </c>
      <c r="AS15" s="7">
        <v>0</v>
      </c>
      <c r="AT15" s="7">
        <v>0</v>
      </c>
      <c r="AU15" s="7">
        <v>0</v>
      </c>
      <c r="AV15" s="7">
        <v>0</v>
      </c>
      <c r="AW15" s="7">
        <v>0</v>
      </c>
      <c r="AX15" s="7">
        <v>0</v>
      </c>
    </row>
    <row r="16" spans="1:50" x14ac:dyDescent="0.45">
      <c r="A16" s="27"/>
      <c r="B16" s="27"/>
      <c r="C16" s="27"/>
      <c r="D16" s="27"/>
      <c r="F16" s="3">
        <v>15</v>
      </c>
      <c r="G16" s="7">
        <v>0</v>
      </c>
      <c r="H16" s="7">
        <v>0</v>
      </c>
      <c r="I16" s="7">
        <v>0</v>
      </c>
      <c r="J16" s="7">
        <v>0</v>
      </c>
      <c r="K16" s="7">
        <v>0</v>
      </c>
      <c r="L16" s="7">
        <v>0</v>
      </c>
      <c r="M16" s="7">
        <v>0</v>
      </c>
      <c r="N16" s="7">
        <v>0</v>
      </c>
      <c r="O16" s="7">
        <v>0</v>
      </c>
      <c r="P16" s="7">
        <v>0</v>
      </c>
      <c r="Q16" s="7">
        <v>0</v>
      </c>
      <c r="R16" s="7">
        <v>0</v>
      </c>
      <c r="S16" s="7">
        <v>0</v>
      </c>
      <c r="T16" s="7">
        <v>0</v>
      </c>
      <c r="U16" s="7">
        <v>0</v>
      </c>
      <c r="V16" s="7">
        <v>0</v>
      </c>
      <c r="W16" s="7">
        <v>0</v>
      </c>
      <c r="X16" s="7">
        <v>0</v>
      </c>
      <c r="Y16" s="7">
        <v>0</v>
      </c>
      <c r="Z16" s="7">
        <v>0</v>
      </c>
      <c r="AA16" s="7">
        <v>0</v>
      </c>
      <c r="AB16" s="7">
        <v>0</v>
      </c>
      <c r="AC16" s="7">
        <v>0</v>
      </c>
      <c r="AD16" s="7">
        <v>0</v>
      </c>
      <c r="AE16" s="7">
        <v>0</v>
      </c>
      <c r="AF16" s="7">
        <v>0</v>
      </c>
      <c r="AG16" s="7">
        <v>0</v>
      </c>
      <c r="AH16" s="7">
        <v>0</v>
      </c>
      <c r="AI16" s="7">
        <v>0</v>
      </c>
      <c r="AJ16" s="7">
        <v>0</v>
      </c>
      <c r="AK16" s="7">
        <v>0</v>
      </c>
      <c r="AL16" s="7">
        <v>0</v>
      </c>
      <c r="AM16" s="7">
        <v>0</v>
      </c>
      <c r="AN16" s="7">
        <v>0</v>
      </c>
      <c r="AO16" s="7">
        <v>0</v>
      </c>
      <c r="AP16" s="7">
        <v>0</v>
      </c>
      <c r="AQ16" s="7">
        <v>0</v>
      </c>
      <c r="AR16" s="7">
        <v>0</v>
      </c>
      <c r="AS16" s="7">
        <v>0</v>
      </c>
      <c r="AT16" s="7">
        <v>0</v>
      </c>
      <c r="AU16" s="7">
        <v>0</v>
      </c>
      <c r="AV16" s="7">
        <v>0</v>
      </c>
      <c r="AW16" s="7">
        <v>0</v>
      </c>
      <c r="AX16" s="7">
        <v>0</v>
      </c>
    </row>
    <row r="17" spans="1:50" x14ac:dyDescent="0.45">
      <c r="A17" s="27"/>
      <c r="B17" s="27"/>
      <c r="C17" s="27"/>
      <c r="D17" s="27"/>
      <c r="F17" s="3">
        <v>16</v>
      </c>
      <c r="G17" s="7">
        <v>0</v>
      </c>
      <c r="H17" s="7">
        <v>0</v>
      </c>
      <c r="I17" s="7">
        <v>0</v>
      </c>
      <c r="J17" s="7">
        <v>0</v>
      </c>
      <c r="K17" s="7">
        <v>0</v>
      </c>
      <c r="L17" s="7">
        <v>0</v>
      </c>
      <c r="M17" s="7">
        <v>0</v>
      </c>
      <c r="N17" s="7">
        <v>0</v>
      </c>
      <c r="O17" s="7">
        <v>0</v>
      </c>
      <c r="P17" s="7">
        <v>0</v>
      </c>
      <c r="Q17" s="7">
        <v>0</v>
      </c>
      <c r="R17" s="7">
        <v>0</v>
      </c>
      <c r="S17" s="7">
        <v>0</v>
      </c>
      <c r="T17" s="7">
        <v>0</v>
      </c>
      <c r="U17" s="7">
        <v>0</v>
      </c>
      <c r="V17" s="7">
        <v>0</v>
      </c>
      <c r="W17" s="7">
        <v>0</v>
      </c>
      <c r="X17" s="7">
        <v>0</v>
      </c>
      <c r="Y17" s="7">
        <v>0</v>
      </c>
      <c r="Z17" s="7">
        <v>0</v>
      </c>
      <c r="AA17" s="7">
        <v>0</v>
      </c>
      <c r="AB17" s="7">
        <v>0</v>
      </c>
      <c r="AC17" s="7">
        <v>0</v>
      </c>
      <c r="AD17" s="7">
        <v>0</v>
      </c>
      <c r="AE17" s="7">
        <v>0</v>
      </c>
      <c r="AF17" s="7">
        <v>0</v>
      </c>
      <c r="AG17" s="7">
        <v>0</v>
      </c>
      <c r="AH17" s="7">
        <v>0</v>
      </c>
      <c r="AI17" s="7">
        <v>0</v>
      </c>
      <c r="AJ17" s="7">
        <v>0</v>
      </c>
      <c r="AK17" s="7">
        <v>0</v>
      </c>
      <c r="AL17" s="7">
        <v>0</v>
      </c>
      <c r="AM17" s="7">
        <v>0</v>
      </c>
      <c r="AN17" s="7">
        <v>0</v>
      </c>
      <c r="AO17" s="7">
        <v>0</v>
      </c>
      <c r="AP17" s="7">
        <v>0</v>
      </c>
      <c r="AQ17" s="7">
        <v>0</v>
      </c>
      <c r="AR17" s="7">
        <v>0</v>
      </c>
      <c r="AS17" s="7">
        <v>0</v>
      </c>
      <c r="AT17" s="7">
        <v>0</v>
      </c>
      <c r="AU17" s="7">
        <v>0</v>
      </c>
      <c r="AV17" s="7">
        <v>0</v>
      </c>
      <c r="AW17" s="7">
        <v>0</v>
      </c>
      <c r="AX17" s="7">
        <v>0</v>
      </c>
    </row>
    <row r="18" spans="1:50" x14ac:dyDescent="0.45">
      <c r="A18" s="27"/>
      <c r="B18" s="27"/>
      <c r="C18" s="27"/>
      <c r="D18" s="27"/>
      <c r="F18" s="3">
        <v>17</v>
      </c>
      <c r="G18" s="7">
        <v>0</v>
      </c>
      <c r="H18" s="7">
        <v>0</v>
      </c>
      <c r="I18" s="7">
        <v>0</v>
      </c>
      <c r="J18" s="7">
        <v>0</v>
      </c>
      <c r="K18" s="7">
        <v>0</v>
      </c>
      <c r="L18" s="7">
        <v>0</v>
      </c>
      <c r="M18" s="7">
        <v>0</v>
      </c>
      <c r="N18" s="7">
        <v>0</v>
      </c>
      <c r="O18" s="7">
        <v>0</v>
      </c>
      <c r="P18" s="7">
        <v>0</v>
      </c>
      <c r="Q18" s="7">
        <v>0</v>
      </c>
      <c r="R18" s="7">
        <v>0</v>
      </c>
      <c r="S18" s="7">
        <v>0</v>
      </c>
      <c r="T18" s="7">
        <v>0</v>
      </c>
      <c r="U18" s="7">
        <v>0</v>
      </c>
      <c r="V18" s="7">
        <v>0</v>
      </c>
      <c r="W18" s="7">
        <v>0</v>
      </c>
      <c r="X18" s="7">
        <v>0</v>
      </c>
      <c r="Y18" s="7">
        <v>0</v>
      </c>
      <c r="Z18" s="7">
        <v>0</v>
      </c>
      <c r="AA18" s="7">
        <v>0</v>
      </c>
      <c r="AB18" s="7">
        <v>0</v>
      </c>
      <c r="AC18" s="7">
        <v>0</v>
      </c>
      <c r="AD18" s="7">
        <v>0</v>
      </c>
      <c r="AE18" s="7">
        <v>0</v>
      </c>
      <c r="AF18" s="7">
        <v>0</v>
      </c>
      <c r="AG18" s="7">
        <v>0</v>
      </c>
      <c r="AH18" s="7">
        <v>0</v>
      </c>
      <c r="AI18" s="7">
        <v>0</v>
      </c>
      <c r="AJ18" s="7">
        <v>0</v>
      </c>
      <c r="AK18" s="7">
        <v>0</v>
      </c>
      <c r="AL18" s="7">
        <v>0</v>
      </c>
      <c r="AM18" s="7">
        <v>0</v>
      </c>
      <c r="AN18" s="7">
        <v>0</v>
      </c>
      <c r="AO18" s="7">
        <v>0</v>
      </c>
      <c r="AP18" s="7">
        <v>0</v>
      </c>
      <c r="AQ18" s="7">
        <v>0</v>
      </c>
      <c r="AR18" s="7">
        <v>0</v>
      </c>
      <c r="AS18" s="7">
        <v>0</v>
      </c>
      <c r="AT18" s="7">
        <v>0</v>
      </c>
      <c r="AU18" s="7">
        <v>0</v>
      </c>
      <c r="AV18" s="7">
        <v>0</v>
      </c>
      <c r="AW18" s="7">
        <v>0</v>
      </c>
      <c r="AX18" s="7">
        <v>0</v>
      </c>
    </row>
    <row r="19" spans="1:50" x14ac:dyDescent="0.45">
      <c r="A19" s="27"/>
      <c r="B19" s="27"/>
      <c r="C19" s="27"/>
      <c r="D19" s="27"/>
      <c r="F19" s="3">
        <v>18</v>
      </c>
      <c r="G19" s="7">
        <v>0</v>
      </c>
      <c r="H19" s="7">
        <v>0</v>
      </c>
      <c r="I19" s="7">
        <v>0</v>
      </c>
      <c r="J19" s="7">
        <v>0</v>
      </c>
      <c r="K19" s="7">
        <v>0</v>
      </c>
      <c r="L19" s="7">
        <v>0</v>
      </c>
      <c r="M19" s="7">
        <v>0</v>
      </c>
      <c r="N19" s="7">
        <v>0</v>
      </c>
      <c r="O19" s="7">
        <v>0</v>
      </c>
      <c r="P19" s="7">
        <v>0</v>
      </c>
      <c r="Q19" s="7">
        <v>0</v>
      </c>
      <c r="R19" s="7">
        <v>0</v>
      </c>
      <c r="S19" s="7">
        <v>0</v>
      </c>
      <c r="T19" s="7">
        <v>0</v>
      </c>
      <c r="U19" s="7">
        <v>0</v>
      </c>
      <c r="V19" s="7">
        <v>0</v>
      </c>
      <c r="W19" s="7">
        <v>0</v>
      </c>
      <c r="X19" s="7">
        <v>0</v>
      </c>
      <c r="Y19" s="7">
        <v>703.04378155705263</v>
      </c>
      <c r="Z19" s="7">
        <v>0</v>
      </c>
      <c r="AA19" s="7">
        <v>0</v>
      </c>
      <c r="AB19" s="7">
        <v>0</v>
      </c>
      <c r="AC19" s="7">
        <v>0</v>
      </c>
      <c r="AD19" s="7">
        <v>0</v>
      </c>
      <c r="AE19" s="7">
        <v>0</v>
      </c>
      <c r="AF19" s="7">
        <v>0</v>
      </c>
      <c r="AG19" s="7">
        <v>0</v>
      </c>
      <c r="AH19" s="7">
        <v>0</v>
      </c>
      <c r="AI19" s="7">
        <v>0</v>
      </c>
      <c r="AJ19" s="7">
        <v>0</v>
      </c>
      <c r="AK19" s="7">
        <v>0</v>
      </c>
      <c r="AL19" s="7">
        <v>0</v>
      </c>
      <c r="AM19" s="7">
        <v>10171.239552464662</v>
      </c>
      <c r="AN19" s="7">
        <v>0</v>
      </c>
      <c r="AO19" s="7">
        <v>0</v>
      </c>
      <c r="AP19" s="7">
        <v>0</v>
      </c>
      <c r="AQ19" s="7">
        <v>0</v>
      </c>
      <c r="AR19" s="7">
        <v>0</v>
      </c>
      <c r="AS19" s="7">
        <v>0</v>
      </c>
      <c r="AT19" s="7">
        <v>0</v>
      </c>
      <c r="AU19" s="7">
        <v>0</v>
      </c>
      <c r="AV19" s="7">
        <v>0</v>
      </c>
      <c r="AW19" s="7">
        <v>0</v>
      </c>
      <c r="AX19" s="7">
        <v>0</v>
      </c>
    </row>
    <row r="20" spans="1:50" x14ac:dyDescent="0.45">
      <c r="F20" s="3">
        <v>19</v>
      </c>
      <c r="G20" s="7">
        <v>0</v>
      </c>
      <c r="H20" s="7">
        <v>0</v>
      </c>
      <c r="I20" s="7">
        <v>0</v>
      </c>
      <c r="J20" s="7">
        <v>0</v>
      </c>
      <c r="K20" s="7">
        <v>0</v>
      </c>
      <c r="L20" s="7">
        <v>0</v>
      </c>
      <c r="M20" s="7">
        <v>0</v>
      </c>
      <c r="N20" s="7">
        <v>0</v>
      </c>
      <c r="O20" s="7">
        <v>0</v>
      </c>
      <c r="P20" s="7">
        <v>0</v>
      </c>
      <c r="Q20" s="7">
        <v>0</v>
      </c>
      <c r="R20" s="7">
        <v>0</v>
      </c>
      <c r="S20" s="7">
        <v>0</v>
      </c>
      <c r="T20" s="7">
        <v>0</v>
      </c>
      <c r="U20" s="7">
        <v>0</v>
      </c>
      <c r="V20" s="7">
        <v>0</v>
      </c>
      <c r="W20" s="7">
        <v>0</v>
      </c>
      <c r="X20" s="7">
        <v>706.45790681587141</v>
      </c>
      <c r="Y20" s="7">
        <v>0</v>
      </c>
      <c r="Z20" s="7">
        <v>703.04378155705263</v>
      </c>
      <c r="AA20" s="7">
        <v>0</v>
      </c>
      <c r="AB20" s="7">
        <v>0</v>
      </c>
      <c r="AC20" s="7">
        <v>0</v>
      </c>
      <c r="AD20" s="7">
        <v>0</v>
      </c>
      <c r="AE20" s="7">
        <v>0</v>
      </c>
      <c r="AF20" s="7">
        <v>0</v>
      </c>
      <c r="AG20" s="7">
        <v>0</v>
      </c>
      <c r="AH20" s="7">
        <v>0</v>
      </c>
      <c r="AI20" s="7">
        <v>0</v>
      </c>
      <c r="AJ20" s="7">
        <v>0</v>
      </c>
      <c r="AK20" s="7">
        <v>0</v>
      </c>
      <c r="AL20" s="7">
        <v>0</v>
      </c>
      <c r="AM20" s="7">
        <v>0</v>
      </c>
      <c r="AN20" s="7">
        <v>0</v>
      </c>
      <c r="AO20" s="7">
        <v>0</v>
      </c>
      <c r="AP20" s="7">
        <v>0</v>
      </c>
      <c r="AQ20" s="7">
        <v>0</v>
      </c>
      <c r="AR20" s="7">
        <v>0</v>
      </c>
      <c r="AS20" s="7">
        <v>0</v>
      </c>
      <c r="AT20" s="7">
        <v>0</v>
      </c>
      <c r="AU20" s="7">
        <v>0</v>
      </c>
      <c r="AV20" s="7">
        <v>0</v>
      </c>
      <c r="AW20" s="7">
        <v>0</v>
      </c>
      <c r="AX20" s="7">
        <v>0</v>
      </c>
    </row>
    <row r="21" spans="1:50" ht="14.55" customHeight="1" x14ac:dyDescent="0.45">
      <c r="A21" s="27" t="s">
        <v>395</v>
      </c>
      <c r="B21" s="27"/>
      <c r="C21" s="27"/>
      <c r="D21" s="27"/>
      <c r="F21" s="3">
        <v>20</v>
      </c>
      <c r="G21" s="7">
        <v>0</v>
      </c>
      <c r="H21" s="7">
        <v>0</v>
      </c>
      <c r="I21" s="7">
        <v>0</v>
      </c>
      <c r="J21" s="7">
        <v>0</v>
      </c>
      <c r="K21" s="7">
        <v>0</v>
      </c>
      <c r="L21" s="7">
        <v>0</v>
      </c>
      <c r="M21" s="7">
        <v>0</v>
      </c>
      <c r="N21" s="7">
        <v>0</v>
      </c>
      <c r="O21" s="7">
        <v>0</v>
      </c>
      <c r="P21" s="7">
        <v>0</v>
      </c>
      <c r="Q21" s="7">
        <v>0</v>
      </c>
      <c r="R21" s="7">
        <v>0</v>
      </c>
      <c r="S21" s="7">
        <v>0</v>
      </c>
      <c r="T21" s="7">
        <v>0</v>
      </c>
      <c r="U21" s="7">
        <v>0</v>
      </c>
      <c r="V21" s="7">
        <v>0</v>
      </c>
      <c r="W21" s="7">
        <v>0</v>
      </c>
      <c r="X21" s="7">
        <v>0</v>
      </c>
      <c r="Y21" s="7">
        <v>706.45790681587141</v>
      </c>
      <c r="Z21" s="7">
        <v>0</v>
      </c>
      <c r="AA21" s="7">
        <v>703.04378155705263</v>
      </c>
      <c r="AB21" s="7">
        <v>0</v>
      </c>
      <c r="AC21" s="7">
        <v>0</v>
      </c>
      <c r="AD21" s="7">
        <v>0</v>
      </c>
      <c r="AE21" s="7">
        <v>0</v>
      </c>
      <c r="AF21" s="7">
        <v>0</v>
      </c>
      <c r="AG21" s="7">
        <v>0</v>
      </c>
      <c r="AH21" s="7">
        <v>0</v>
      </c>
      <c r="AI21" s="7">
        <v>0</v>
      </c>
      <c r="AJ21" s="7">
        <v>0</v>
      </c>
      <c r="AK21" s="7">
        <v>0</v>
      </c>
      <c r="AL21" s="7">
        <v>0</v>
      </c>
      <c r="AM21" s="7">
        <v>0</v>
      </c>
      <c r="AN21" s="7">
        <v>0</v>
      </c>
      <c r="AO21" s="7">
        <v>0</v>
      </c>
      <c r="AP21" s="7">
        <v>0</v>
      </c>
      <c r="AQ21" s="7">
        <v>0</v>
      </c>
      <c r="AR21" s="7">
        <v>0</v>
      </c>
      <c r="AS21" s="7">
        <v>0</v>
      </c>
      <c r="AT21" s="7">
        <v>0</v>
      </c>
      <c r="AU21" s="7">
        <v>0</v>
      </c>
      <c r="AV21" s="7">
        <v>0</v>
      </c>
      <c r="AW21" s="7">
        <v>0</v>
      </c>
      <c r="AX21" s="7">
        <v>0</v>
      </c>
    </row>
    <row r="22" spans="1:50" x14ac:dyDescent="0.45">
      <c r="A22" s="27"/>
      <c r="B22" s="27"/>
      <c r="C22" s="27"/>
      <c r="D22" s="27"/>
      <c r="F22" s="3">
        <v>21</v>
      </c>
      <c r="G22" s="7">
        <v>0</v>
      </c>
      <c r="H22" s="7">
        <v>0</v>
      </c>
      <c r="I22" s="7">
        <v>0</v>
      </c>
      <c r="J22" s="7">
        <v>0</v>
      </c>
      <c r="K22" s="7">
        <v>0</v>
      </c>
      <c r="L22" s="7">
        <v>0</v>
      </c>
      <c r="M22" s="7">
        <v>0</v>
      </c>
      <c r="N22" s="7">
        <v>0</v>
      </c>
      <c r="O22" s="7">
        <v>0</v>
      </c>
      <c r="P22" s="7">
        <v>0</v>
      </c>
      <c r="Q22" s="7">
        <v>0</v>
      </c>
      <c r="R22" s="7">
        <v>0</v>
      </c>
      <c r="S22" s="7">
        <v>0</v>
      </c>
      <c r="T22" s="7">
        <v>0</v>
      </c>
      <c r="U22" s="7">
        <v>0</v>
      </c>
      <c r="V22" s="7">
        <v>0</v>
      </c>
      <c r="W22" s="7">
        <v>0</v>
      </c>
      <c r="X22" s="7">
        <v>0</v>
      </c>
      <c r="Y22" s="7">
        <v>0</v>
      </c>
      <c r="Z22" s="7">
        <v>706.45790681587141</v>
      </c>
      <c r="AA22" s="7">
        <v>0</v>
      </c>
      <c r="AB22" s="7">
        <v>1859.7451958416855</v>
      </c>
      <c r="AC22" s="7">
        <v>0</v>
      </c>
      <c r="AD22" s="7">
        <v>0</v>
      </c>
      <c r="AE22" s="7">
        <v>0</v>
      </c>
      <c r="AF22" s="7">
        <v>0</v>
      </c>
      <c r="AG22" s="7">
        <v>0</v>
      </c>
      <c r="AH22" s="7">
        <v>0</v>
      </c>
      <c r="AI22" s="7">
        <v>0</v>
      </c>
      <c r="AJ22" s="7">
        <v>0</v>
      </c>
      <c r="AK22" s="7">
        <v>0</v>
      </c>
      <c r="AL22" s="7">
        <v>0</v>
      </c>
      <c r="AM22" s="7">
        <v>0</v>
      </c>
      <c r="AN22" s="7">
        <v>0</v>
      </c>
      <c r="AO22" s="7">
        <v>0</v>
      </c>
      <c r="AP22" s="7">
        <v>7288.4452000614683</v>
      </c>
      <c r="AQ22" s="7">
        <v>0</v>
      </c>
      <c r="AR22" s="7">
        <v>0</v>
      </c>
      <c r="AS22" s="7">
        <v>0</v>
      </c>
      <c r="AT22" s="7">
        <v>0</v>
      </c>
      <c r="AU22" s="7">
        <v>0</v>
      </c>
      <c r="AV22" s="7">
        <v>0</v>
      </c>
      <c r="AW22" s="7">
        <v>0</v>
      </c>
      <c r="AX22" s="7">
        <v>0</v>
      </c>
    </row>
    <row r="23" spans="1:50" x14ac:dyDescent="0.45">
      <c r="A23" s="27"/>
      <c r="B23" s="27"/>
      <c r="C23" s="27"/>
      <c r="D23" s="27"/>
      <c r="F23" s="3">
        <v>22</v>
      </c>
      <c r="G23" s="7">
        <v>0</v>
      </c>
      <c r="H23" s="7">
        <v>0</v>
      </c>
      <c r="I23" s="7">
        <v>0</v>
      </c>
      <c r="J23" s="7">
        <v>0</v>
      </c>
      <c r="K23" s="7">
        <v>0</v>
      </c>
      <c r="L23" s="7">
        <v>0</v>
      </c>
      <c r="M23" s="7">
        <v>0</v>
      </c>
      <c r="N23" s="7">
        <v>0</v>
      </c>
      <c r="O23" s="7">
        <v>0</v>
      </c>
      <c r="P23" s="7">
        <v>0</v>
      </c>
      <c r="Q23" s="7">
        <v>0</v>
      </c>
      <c r="R23" s="7">
        <v>0</v>
      </c>
      <c r="S23" s="7">
        <v>0</v>
      </c>
      <c r="T23" s="7">
        <v>0</v>
      </c>
      <c r="U23" s="7">
        <v>0</v>
      </c>
      <c r="V23" s="7">
        <v>0</v>
      </c>
      <c r="W23" s="7">
        <v>0</v>
      </c>
      <c r="X23" s="7">
        <v>0</v>
      </c>
      <c r="Y23" s="7">
        <v>0</v>
      </c>
      <c r="Z23" s="7">
        <v>0</v>
      </c>
      <c r="AA23" s="7">
        <v>1840.4897409455787</v>
      </c>
      <c r="AB23" s="7">
        <v>0</v>
      </c>
      <c r="AC23" s="7">
        <v>1859.7451958416855</v>
      </c>
      <c r="AD23" s="7">
        <v>0</v>
      </c>
      <c r="AE23" s="7">
        <v>0</v>
      </c>
      <c r="AF23" s="7">
        <v>0</v>
      </c>
      <c r="AG23" s="7">
        <v>0</v>
      </c>
      <c r="AH23" s="7">
        <v>0</v>
      </c>
      <c r="AI23" s="7">
        <v>0</v>
      </c>
      <c r="AJ23" s="7">
        <v>0</v>
      </c>
      <c r="AK23" s="7">
        <v>0</v>
      </c>
      <c r="AL23" s="7">
        <v>0</v>
      </c>
      <c r="AM23" s="7">
        <v>0</v>
      </c>
      <c r="AN23" s="7">
        <v>0</v>
      </c>
      <c r="AO23" s="7">
        <v>0</v>
      </c>
      <c r="AP23" s="7">
        <v>0</v>
      </c>
      <c r="AQ23" s="7">
        <v>0</v>
      </c>
      <c r="AR23" s="7">
        <v>0</v>
      </c>
      <c r="AS23" s="7">
        <v>0</v>
      </c>
      <c r="AT23" s="7">
        <v>0</v>
      </c>
      <c r="AU23" s="7">
        <v>0</v>
      </c>
      <c r="AV23" s="7">
        <v>0</v>
      </c>
      <c r="AW23" s="7">
        <v>0</v>
      </c>
      <c r="AX23" s="7">
        <v>0</v>
      </c>
    </row>
    <row r="24" spans="1:50" x14ac:dyDescent="0.45">
      <c r="A24" s="27"/>
      <c r="B24" s="27"/>
      <c r="C24" s="27"/>
      <c r="D24" s="27"/>
      <c r="F24" s="3">
        <v>23</v>
      </c>
      <c r="G24" s="7">
        <v>0</v>
      </c>
      <c r="H24" s="7">
        <v>0</v>
      </c>
      <c r="I24" s="7">
        <v>0</v>
      </c>
      <c r="J24" s="7">
        <v>0</v>
      </c>
      <c r="K24" s="7">
        <v>0</v>
      </c>
      <c r="L24" s="7">
        <v>0</v>
      </c>
      <c r="M24" s="7">
        <v>0</v>
      </c>
      <c r="N24" s="7">
        <v>0</v>
      </c>
      <c r="O24" s="7">
        <v>0</v>
      </c>
      <c r="P24" s="7">
        <v>0</v>
      </c>
      <c r="Q24" s="7">
        <v>0</v>
      </c>
      <c r="R24" s="7">
        <v>0</v>
      </c>
      <c r="S24" s="7">
        <v>0</v>
      </c>
      <c r="T24" s="7">
        <v>0</v>
      </c>
      <c r="U24" s="7">
        <v>0</v>
      </c>
      <c r="V24" s="7">
        <v>0</v>
      </c>
      <c r="W24" s="7">
        <v>0</v>
      </c>
      <c r="X24" s="7">
        <v>0</v>
      </c>
      <c r="Y24" s="7">
        <v>0</v>
      </c>
      <c r="Z24" s="7">
        <v>0</v>
      </c>
      <c r="AA24" s="7">
        <v>0</v>
      </c>
      <c r="AB24" s="7">
        <v>1840.4897409455787</v>
      </c>
      <c r="AC24" s="7">
        <v>0</v>
      </c>
      <c r="AD24" s="7">
        <v>1859.7451958416855</v>
      </c>
      <c r="AE24" s="7">
        <v>0</v>
      </c>
      <c r="AF24" s="7">
        <v>0</v>
      </c>
      <c r="AG24" s="7">
        <v>0</v>
      </c>
      <c r="AH24" s="7">
        <v>0</v>
      </c>
      <c r="AI24" s="7">
        <v>0</v>
      </c>
      <c r="AJ24" s="7">
        <v>0</v>
      </c>
      <c r="AK24" s="7">
        <v>0</v>
      </c>
      <c r="AL24" s="7">
        <v>0</v>
      </c>
      <c r="AM24" s="7">
        <v>0</v>
      </c>
      <c r="AN24" s="7">
        <v>0</v>
      </c>
      <c r="AO24" s="7">
        <v>0</v>
      </c>
      <c r="AP24" s="7">
        <v>0</v>
      </c>
      <c r="AQ24" s="7">
        <v>0</v>
      </c>
      <c r="AR24" s="7">
        <v>0</v>
      </c>
      <c r="AS24" s="7">
        <v>0</v>
      </c>
      <c r="AT24" s="7">
        <v>0</v>
      </c>
      <c r="AU24" s="7">
        <v>0</v>
      </c>
      <c r="AV24" s="7">
        <v>0</v>
      </c>
      <c r="AW24" s="7">
        <v>0</v>
      </c>
      <c r="AX24" s="7">
        <v>0</v>
      </c>
    </row>
    <row r="25" spans="1:50" x14ac:dyDescent="0.45">
      <c r="A25" s="27"/>
      <c r="B25" s="27"/>
      <c r="C25" s="27"/>
      <c r="D25" s="27"/>
      <c r="F25" s="3">
        <v>24</v>
      </c>
      <c r="G25" s="7">
        <v>0</v>
      </c>
      <c r="H25" s="7">
        <v>0</v>
      </c>
      <c r="I25" s="7">
        <v>0</v>
      </c>
      <c r="J25" s="7">
        <v>0</v>
      </c>
      <c r="K25" s="7">
        <v>0</v>
      </c>
      <c r="L25" s="7">
        <v>0</v>
      </c>
      <c r="M25" s="7">
        <v>0</v>
      </c>
      <c r="N25" s="7">
        <v>0</v>
      </c>
      <c r="O25" s="7">
        <v>6684.7514343857029</v>
      </c>
      <c r="P25" s="7">
        <v>0</v>
      </c>
      <c r="Q25" s="7">
        <v>0</v>
      </c>
      <c r="R25" s="7">
        <v>0</v>
      </c>
      <c r="S25" s="7">
        <v>0</v>
      </c>
      <c r="T25" s="7">
        <v>0</v>
      </c>
      <c r="U25" s="7">
        <v>0</v>
      </c>
      <c r="V25" s="7">
        <v>0</v>
      </c>
      <c r="W25" s="7">
        <v>0</v>
      </c>
      <c r="X25" s="7">
        <v>0</v>
      </c>
      <c r="Y25" s="7">
        <v>0</v>
      </c>
      <c r="Z25" s="7">
        <v>0</v>
      </c>
      <c r="AA25" s="7">
        <v>0</v>
      </c>
      <c r="AB25" s="7">
        <v>0</v>
      </c>
      <c r="AC25" s="7">
        <v>1840.4897409455787</v>
      </c>
      <c r="AD25" s="7">
        <v>0</v>
      </c>
      <c r="AE25" s="7">
        <v>8764.0238953583284</v>
      </c>
      <c r="AF25" s="7">
        <v>0</v>
      </c>
      <c r="AG25" s="7">
        <v>0</v>
      </c>
      <c r="AH25" s="7">
        <v>0</v>
      </c>
      <c r="AI25" s="7">
        <v>0</v>
      </c>
      <c r="AJ25" s="7">
        <v>0</v>
      </c>
      <c r="AK25" s="7">
        <v>0</v>
      </c>
      <c r="AL25" s="7">
        <v>0</v>
      </c>
      <c r="AM25" s="7">
        <v>0</v>
      </c>
      <c r="AN25" s="7">
        <v>0</v>
      </c>
      <c r="AO25" s="7">
        <v>0</v>
      </c>
      <c r="AP25" s="7">
        <v>0</v>
      </c>
      <c r="AQ25" s="7">
        <v>0</v>
      </c>
      <c r="AR25" s="7">
        <v>0</v>
      </c>
      <c r="AS25" s="7">
        <v>0</v>
      </c>
      <c r="AT25" s="7">
        <v>0</v>
      </c>
      <c r="AU25" s="7">
        <v>0</v>
      </c>
      <c r="AV25" s="7">
        <v>0</v>
      </c>
      <c r="AW25" s="7">
        <v>0</v>
      </c>
      <c r="AX25" s="7">
        <v>0</v>
      </c>
    </row>
    <row r="26" spans="1:50" x14ac:dyDescent="0.45">
      <c r="A26" s="27"/>
      <c r="B26" s="27"/>
      <c r="C26" s="27"/>
      <c r="D26" s="27"/>
      <c r="F26" s="3">
        <v>25</v>
      </c>
      <c r="G26" s="7">
        <v>0</v>
      </c>
      <c r="H26" s="7">
        <v>0</v>
      </c>
      <c r="I26" s="7">
        <v>0</v>
      </c>
      <c r="J26" s="7">
        <v>0</v>
      </c>
      <c r="K26" s="7">
        <v>0</v>
      </c>
      <c r="L26" s="7">
        <v>0</v>
      </c>
      <c r="M26" s="7">
        <v>0</v>
      </c>
      <c r="N26" s="7">
        <v>0</v>
      </c>
      <c r="O26" s="7">
        <v>0</v>
      </c>
      <c r="P26" s="7">
        <v>0</v>
      </c>
      <c r="Q26" s="7">
        <v>0</v>
      </c>
      <c r="R26" s="7">
        <v>0</v>
      </c>
      <c r="S26" s="7">
        <v>0</v>
      </c>
      <c r="T26" s="7">
        <v>0</v>
      </c>
      <c r="U26" s="7">
        <v>0</v>
      </c>
      <c r="V26" s="7">
        <v>0</v>
      </c>
      <c r="W26" s="7">
        <v>0</v>
      </c>
      <c r="X26" s="7">
        <v>0</v>
      </c>
      <c r="Y26" s="7">
        <v>0</v>
      </c>
      <c r="Z26" s="7">
        <v>0</v>
      </c>
      <c r="AA26" s="7">
        <v>0</v>
      </c>
      <c r="AB26" s="7">
        <v>0</v>
      </c>
      <c r="AC26" s="7">
        <v>0</v>
      </c>
      <c r="AD26" s="7">
        <v>8690.0397973698819</v>
      </c>
      <c r="AE26" s="7">
        <v>0</v>
      </c>
      <c r="AF26" s="7">
        <v>8764.0238953583284</v>
      </c>
      <c r="AG26" s="7">
        <v>0</v>
      </c>
      <c r="AH26" s="7">
        <v>0</v>
      </c>
      <c r="AI26" s="7">
        <v>0</v>
      </c>
      <c r="AJ26" s="7">
        <v>0</v>
      </c>
      <c r="AK26" s="7">
        <v>0</v>
      </c>
      <c r="AL26" s="7">
        <v>0</v>
      </c>
      <c r="AM26" s="7">
        <v>0</v>
      </c>
      <c r="AN26" s="7">
        <v>0</v>
      </c>
      <c r="AO26" s="7">
        <v>0</v>
      </c>
      <c r="AP26" s="7">
        <v>0</v>
      </c>
      <c r="AQ26" s="7">
        <v>0</v>
      </c>
      <c r="AR26" s="7">
        <v>0</v>
      </c>
      <c r="AS26" s="7">
        <v>0</v>
      </c>
      <c r="AT26" s="7">
        <v>0</v>
      </c>
      <c r="AU26" s="7">
        <v>0</v>
      </c>
      <c r="AV26" s="7">
        <v>0</v>
      </c>
      <c r="AW26" s="7">
        <v>0</v>
      </c>
      <c r="AX26" s="7">
        <v>0</v>
      </c>
    </row>
    <row r="27" spans="1:50" x14ac:dyDescent="0.45">
      <c r="A27" s="27"/>
      <c r="B27" s="27"/>
      <c r="C27" s="27"/>
      <c r="D27" s="27"/>
      <c r="F27" s="3">
        <v>26</v>
      </c>
      <c r="G27" s="7">
        <v>0</v>
      </c>
      <c r="H27" s="7">
        <v>0</v>
      </c>
      <c r="I27" s="7">
        <v>0</v>
      </c>
      <c r="J27" s="7">
        <v>0</v>
      </c>
      <c r="K27" s="7">
        <v>0</v>
      </c>
      <c r="L27" s="7">
        <v>0</v>
      </c>
      <c r="M27" s="7">
        <v>0</v>
      </c>
      <c r="N27" s="7">
        <v>0</v>
      </c>
      <c r="O27" s="7">
        <v>0</v>
      </c>
      <c r="P27" s="7">
        <v>0</v>
      </c>
      <c r="Q27" s="7">
        <v>0</v>
      </c>
      <c r="R27" s="7">
        <v>0</v>
      </c>
      <c r="S27" s="7">
        <v>0</v>
      </c>
      <c r="T27" s="7">
        <v>0</v>
      </c>
      <c r="U27" s="7">
        <v>0</v>
      </c>
      <c r="V27" s="7">
        <v>0</v>
      </c>
      <c r="W27" s="7">
        <v>0</v>
      </c>
      <c r="X27" s="7">
        <v>0</v>
      </c>
      <c r="Y27" s="7">
        <v>0</v>
      </c>
      <c r="Z27" s="7">
        <v>0</v>
      </c>
      <c r="AA27" s="7">
        <v>0</v>
      </c>
      <c r="AB27" s="7">
        <v>0</v>
      </c>
      <c r="AC27" s="7">
        <v>0</v>
      </c>
      <c r="AD27" s="7">
        <v>0</v>
      </c>
      <c r="AE27" s="7">
        <v>8690.0397973698819</v>
      </c>
      <c r="AF27" s="7">
        <v>0</v>
      </c>
      <c r="AG27" s="7">
        <v>8764.0238953583284</v>
      </c>
      <c r="AH27" s="7">
        <v>0</v>
      </c>
      <c r="AI27" s="7">
        <v>0</v>
      </c>
      <c r="AJ27" s="7">
        <v>0</v>
      </c>
      <c r="AK27" s="7">
        <v>0</v>
      </c>
      <c r="AL27" s="7">
        <v>0</v>
      </c>
      <c r="AM27" s="7">
        <v>0</v>
      </c>
      <c r="AN27" s="7">
        <v>0</v>
      </c>
      <c r="AO27" s="7">
        <v>0</v>
      </c>
      <c r="AP27" s="7">
        <v>0</v>
      </c>
      <c r="AQ27" s="7">
        <v>0</v>
      </c>
      <c r="AR27" s="7">
        <v>0</v>
      </c>
      <c r="AS27" s="7">
        <v>0</v>
      </c>
      <c r="AT27" s="7">
        <v>0</v>
      </c>
      <c r="AU27" s="7">
        <v>0</v>
      </c>
      <c r="AV27" s="7">
        <v>0</v>
      </c>
      <c r="AW27" s="7">
        <v>0</v>
      </c>
      <c r="AX27" s="7">
        <v>0</v>
      </c>
    </row>
    <row r="28" spans="1:50" x14ac:dyDescent="0.45">
      <c r="A28" s="27"/>
      <c r="B28" s="27"/>
      <c r="C28" s="27"/>
      <c r="D28" s="27"/>
      <c r="F28" s="3">
        <v>27</v>
      </c>
      <c r="G28" s="7">
        <v>0</v>
      </c>
      <c r="H28" s="7">
        <v>0</v>
      </c>
      <c r="I28" s="7">
        <v>0</v>
      </c>
      <c r="J28" s="7">
        <v>0</v>
      </c>
      <c r="K28" s="7">
        <v>0</v>
      </c>
      <c r="L28" s="7">
        <v>0</v>
      </c>
      <c r="M28" s="7">
        <v>0</v>
      </c>
      <c r="N28" s="7">
        <v>0</v>
      </c>
      <c r="O28" s="7">
        <v>0</v>
      </c>
      <c r="P28" s="7">
        <v>0</v>
      </c>
      <c r="Q28" s="7">
        <v>0</v>
      </c>
      <c r="R28" s="7">
        <v>6718.1006864319534</v>
      </c>
      <c r="S28" s="7">
        <v>0</v>
      </c>
      <c r="T28" s="7">
        <v>0</v>
      </c>
      <c r="U28" s="7">
        <v>0</v>
      </c>
      <c r="V28" s="7">
        <v>0</v>
      </c>
      <c r="W28" s="7">
        <v>0</v>
      </c>
      <c r="X28" s="7">
        <v>0</v>
      </c>
      <c r="Y28" s="7">
        <v>0</v>
      </c>
      <c r="Z28" s="7">
        <v>0</v>
      </c>
      <c r="AA28" s="7">
        <v>0</v>
      </c>
      <c r="AB28" s="7">
        <v>0</v>
      </c>
      <c r="AC28" s="7">
        <v>0</v>
      </c>
      <c r="AD28" s="7">
        <v>0</v>
      </c>
      <c r="AE28" s="7">
        <v>0</v>
      </c>
      <c r="AF28" s="7">
        <v>8690.0397973698819</v>
      </c>
      <c r="AG28" s="7">
        <v>0</v>
      </c>
      <c r="AH28" s="7">
        <v>5187.8248093383027</v>
      </c>
      <c r="AI28" s="7">
        <v>0</v>
      </c>
      <c r="AJ28" s="7">
        <v>0</v>
      </c>
      <c r="AK28" s="7">
        <v>0</v>
      </c>
      <c r="AL28" s="7">
        <v>0</v>
      </c>
      <c r="AM28" s="7">
        <v>0</v>
      </c>
      <c r="AN28" s="7">
        <v>0</v>
      </c>
      <c r="AO28" s="7">
        <v>0</v>
      </c>
      <c r="AP28" s="7">
        <v>0</v>
      </c>
      <c r="AQ28" s="7">
        <v>0</v>
      </c>
      <c r="AR28" s="7">
        <v>0</v>
      </c>
      <c r="AS28" s="7">
        <v>10304.262937709242</v>
      </c>
      <c r="AT28" s="7">
        <v>0</v>
      </c>
      <c r="AU28" s="7">
        <v>0</v>
      </c>
      <c r="AV28" s="7">
        <v>0</v>
      </c>
      <c r="AW28" s="7">
        <v>0</v>
      </c>
      <c r="AX28" s="7">
        <v>0</v>
      </c>
    </row>
    <row r="29" spans="1:50" x14ac:dyDescent="0.45">
      <c r="A29" s="27"/>
      <c r="B29" s="27"/>
      <c r="C29" s="27"/>
      <c r="D29" s="27"/>
      <c r="F29" s="3">
        <v>28</v>
      </c>
      <c r="G29" s="7">
        <v>0</v>
      </c>
      <c r="H29" s="7">
        <v>0</v>
      </c>
      <c r="I29" s="7">
        <v>0</v>
      </c>
      <c r="J29" s="7">
        <v>0</v>
      </c>
      <c r="K29" s="7">
        <v>0</v>
      </c>
      <c r="L29" s="7">
        <v>0</v>
      </c>
      <c r="M29" s="7">
        <v>0</v>
      </c>
      <c r="N29" s="7">
        <v>0</v>
      </c>
      <c r="O29" s="7">
        <v>0</v>
      </c>
      <c r="P29" s="7">
        <v>0</v>
      </c>
      <c r="Q29" s="7">
        <v>0</v>
      </c>
      <c r="R29" s="7">
        <v>0</v>
      </c>
      <c r="S29" s="7">
        <v>0</v>
      </c>
      <c r="T29" s="7">
        <v>0</v>
      </c>
      <c r="U29" s="7">
        <v>0</v>
      </c>
      <c r="V29" s="7">
        <v>0</v>
      </c>
      <c r="W29" s="7">
        <v>0</v>
      </c>
      <c r="X29" s="7">
        <v>0</v>
      </c>
      <c r="Y29" s="7">
        <v>0</v>
      </c>
      <c r="Z29" s="7">
        <v>0</v>
      </c>
      <c r="AA29" s="7">
        <v>0</v>
      </c>
      <c r="AB29" s="7">
        <v>0</v>
      </c>
      <c r="AC29" s="7">
        <v>0</v>
      </c>
      <c r="AD29" s="7">
        <v>0</v>
      </c>
      <c r="AE29" s="7">
        <v>0</v>
      </c>
      <c r="AF29" s="7">
        <v>0</v>
      </c>
      <c r="AG29" s="7">
        <v>5160.7264343231273</v>
      </c>
      <c r="AH29" s="7">
        <v>0</v>
      </c>
      <c r="AI29" s="7">
        <v>24538.343684070387</v>
      </c>
      <c r="AJ29" s="7">
        <v>0</v>
      </c>
      <c r="AK29" s="7">
        <v>0</v>
      </c>
      <c r="AL29" s="7">
        <v>0</v>
      </c>
      <c r="AM29" s="7">
        <v>0</v>
      </c>
      <c r="AN29" s="7">
        <v>0</v>
      </c>
      <c r="AO29" s="7">
        <v>0</v>
      </c>
      <c r="AP29" s="7">
        <v>0</v>
      </c>
      <c r="AQ29" s="7">
        <v>0</v>
      </c>
      <c r="AR29" s="7">
        <v>0</v>
      </c>
      <c r="AS29" s="7">
        <v>0</v>
      </c>
      <c r="AT29" s="7">
        <v>22249.40441685362</v>
      </c>
      <c r="AU29" s="7">
        <v>0</v>
      </c>
      <c r="AV29" s="7">
        <v>0</v>
      </c>
      <c r="AW29" s="7">
        <v>0</v>
      </c>
      <c r="AX29" s="7">
        <v>0</v>
      </c>
    </row>
    <row r="30" spans="1:50" x14ac:dyDescent="0.45">
      <c r="A30" s="27"/>
      <c r="B30" s="27"/>
      <c r="C30" s="27"/>
      <c r="D30" s="27"/>
      <c r="F30" s="3">
        <v>29</v>
      </c>
      <c r="G30" s="7">
        <v>0</v>
      </c>
      <c r="H30" s="7">
        <v>0</v>
      </c>
      <c r="I30" s="7">
        <v>0</v>
      </c>
      <c r="J30" s="7">
        <v>0</v>
      </c>
      <c r="K30" s="7">
        <v>0</v>
      </c>
      <c r="L30" s="7">
        <v>0</v>
      </c>
      <c r="M30" s="7">
        <v>0</v>
      </c>
      <c r="N30" s="7">
        <v>0</v>
      </c>
      <c r="O30" s="7">
        <v>0</v>
      </c>
      <c r="P30" s="7">
        <v>0</v>
      </c>
      <c r="Q30" s="7">
        <v>0</v>
      </c>
      <c r="R30" s="7">
        <v>0</v>
      </c>
      <c r="S30" s="7">
        <v>2782.4673235539426</v>
      </c>
      <c r="T30" s="7">
        <v>0</v>
      </c>
      <c r="U30" s="7">
        <v>0</v>
      </c>
      <c r="V30" s="7">
        <v>0</v>
      </c>
      <c r="W30" s="7">
        <v>0</v>
      </c>
      <c r="X30" s="7">
        <v>0</v>
      </c>
      <c r="Y30" s="7">
        <v>0</v>
      </c>
      <c r="Z30" s="7">
        <v>0</v>
      </c>
      <c r="AA30" s="7">
        <v>0</v>
      </c>
      <c r="AB30" s="7">
        <v>0</v>
      </c>
      <c r="AC30" s="7">
        <v>0</v>
      </c>
      <c r="AD30" s="7">
        <v>0</v>
      </c>
      <c r="AE30" s="7">
        <v>0</v>
      </c>
      <c r="AF30" s="7">
        <v>0</v>
      </c>
      <c r="AG30" s="7">
        <v>0</v>
      </c>
      <c r="AH30" s="7">
        <v>24537.911992045381</v>
      </c>
      <c r="AI30" s="7">
        <v>0</v>
      </c>
      <c r="AJ30" s="7">
        <v>19683.352465516302</v>
      </c>
      <c r="AK30" s="7">
        <v>0</v>
      </c>
      <c r="AL30" s="7">
        <v>0</v>
      </c>
      <c r="AM30" s="7">
        <v>0</v>
      </c>
      <c r="AN30" s="7">
        <v>0</v>
      </c>
      <c r="AO30" s="7">
        <v>0</v>
      </c>
      <c r="AP30" s="7">
        <v>0</v>
      </c>
      <c r="AQ30" s="7">
        <v>0</v>
      </c>
      <c r="AR30" s="7">
        <v>0</v>
      </c>
      <c r="AS30" s="7">
        <v>0</v>
      </c>
      <c r="AT30" s="7">
        <v>0</v>
      </c>
      <c r="AU30" s="7">
        <v>0</v>
      </c>
      <c r="AV30" s="7">
        <v>0</v>
      </c>
      <c r="AW30" s="7">
        <v>0</v>
      </c>
      <c r="AX30" s="7">
        <v>0</v>
      </c>
    </row>
    <row r="31" spans="1:50" x14ac:dyDescent="0.45">
      <c r="F31" s="3">
        <v>30</v>
      </c>
      <c r="G31" s="7">
        <v>0</v>
      </c>
      <c r="H31" s="7">
        <v>0</v>
      </c>
      <c r="I31" s="7">
        <v>0</v>
      </c>
      <c r="J31" s="7">
        <v>0</v>
      </c>
      <c r="K31" s="7">
        <v>0</v>
      </c>
      <c r="L31" s="7">
        <v>0</v>
      </c>
      <c r="M31" s="7">
        <v>0</v>
      </c>
      <c r="N31" s="7">
        <v>0</v>
      </c>
      <c r="O31" s="7">
        <v>0</v>
      </c>
      <c r="P31" s="7">
        <v>0</v>
      </c>
      <c r="Q31" s="7">
        <v>0</v>
      </c>
      <c r="R31" s="7">
        <v>0</v>
      </c>
      <c r="S31" s="7">
        <v>0</v>
      </c>
      <c r="T31" s="7">
        <v>0</v>
      </c>
      <c r="U31" s="7">
        <v>0</v>
      </c>
      <c r="V31" s="7">
        <v>0</v>
      </c>
      <c r="W31" s="7">
        <v>0</v>
      </c>
      <c r="X31" s="7">
        <v>0</v>
      </c>
      <c r="Y31" s="7">
        <v>0</v>
      </c>
      <c r="Z31" s="7">
        <v>0</v>
      </c>
      <c r="AA31" s="7">
        <v>0</v>
      </c>
      <c r="AB31" s="7">
        <v>0</v>
      </c>
      <c r="AC31" s="7">
        <v>0</v>
      </c>
      <c r="AD31" s="7">
        <v>0</v>
      </c>
      <c r="AE31" s="7">
        <v>0</v>
      </c>
      <c r="AF31" s="7">
        <v>0</v>
      </c>
      <c r="AG31" s="7">
        <v>0</v>
      </c>
      <c r="AH31" s="7">
        <v>0</v>
      </c>
      <c r="AI31" s="7">
        <v>19664.913660584851</v>
      </c>
      <c r="AJ31" s="7">
        <v>0</v>
      </c>
      <c r="AK31" s="7">
        <v>7639.4540376579862</v>
      </c>
      <c r="AL31" s="7">
        <v>0</v>
      </c>
      <c r="AM31" s="7">
        <v>0</v>
      </c>
      <c r="AN31" s="7">
        <v>0</v>
      </c>
      <c r="AO31" s="7">
        <v>0</v>
      </c>
      <c r="AP31" s="7">
        <v>0</v>
      </c>
      <c r="AQ31" s="7">
        <v>0</v>
      </c>
      <c r="AR31" s="7">
        <v>0</v>
      </c>
      <c r="AS31" s="7">
        <v>0</v>
      </c>
      <c r="AT31" s="7">
        <v>0</v>
      </c>
      <c r="AU31" s="7">
        <v>0</v>
      </c>
      <c r="AV31" s="7">
        <v>0</v>
      </c>
      <c r="AW31" s="7">
        <v>0</v>
      </c>
      <c r="AX31" s="7">
        <v>0</v>
      </c>
    </row>
    <row r="32" spans="1:50" x14ac:dyDescent="0.45">
      <c r="F32" s="3">
        <v>31</v>
      </c>
      <c r="G32" s="7">
        <v>0</v>
      </c>
      <c r="H32" s="7">
        <v>0</v>
      </c>
      <c r="I32" s="7">
        <v>0</v>
      </c>
      <c r="J32" s="7">
        <v>0</v>
      </c>
      <c r="K32" s="7">
        <v>0</v>
      </c>
      <c r="L32" s="7">
        <v>0</v>
      </c>
      <c r="M32" s="7">
        <v>0</v>
      </c>
      <c r="N32" s="7">
        <v>0</v>
      </c>
      <c r="O32" s="7">
        <v>0</v>
      </c>
      <c r="P32" s="7">
        <v>0</v>
      </c>
      <c r="Q32" s="7">
        <v>0</v>
      </c>
      <c r="R32" s="7">
        <v>0</v>
      </c>
      <c r="S32" s="7">
        <v>0</v>
      </c>
      <c r="T32" s="7">
        <v>0</v>
      </c>
      <c r="U32" s="7">
        <v>0</v>
      </c>
      <c r="V32" s="7">
        <v>0</v>
      </c>
      <c r="W32" s="7">
        <v>0</v>
      </c>
      <c r="X32" s="7">
        <v>0</v>
      </c>
      <c r="Y32" s="7">
        <v>0</v>
      </c>
      <c r="Z32" s="7">
        <v>0</v>
      </c>
      <c r="AA32" s="7">
        <v>0</v>
      </c>
      <c r="AB32" s="7">
        <v>0</v>
      </c>
      <c r="AC32" s="7">
        <v>0</v>
      </c>
      <c r="AD32" s="7">
        <v>0</v>
      </c>
      <c r="AE32" s="7">
        <v>0</v>
      </c>
      <c r="AF32" s="7">
        <v>0</v>
      </c>
      <c r="AG32" s="7">
        <v>0</v>
      </c>
      <c r="AH32" s="7">
        <v>0</v>
      </c>
      <c r="AI32" s="7">
        <v>0</v>
      </c>
      <c r="AJ32" s="7">
        <v>7667.9153789443426</v>
      </c>
      <c r="AK32" s="7">
        <v>0</v>
      </c>
      <c r="AL32" s="7">
        <v>2011.6331675138076</v>
      </c>
      <c r="AM32" s="7">
        <v>0</v>
      </c>
      <c r="AN32" s="7">
        <v>0</v>
      </c>
      <c r="AO32" s="7">
        <v>0</v>
      </c>
      <c r="AP32" s="7">
        <v>0</v>
      </c>
      <c r="AQ32" s="7">
        <v>0</v>
      </c>
      <c r="AR32" s="7">
        <v>0</v>
      </c>
      <c r="AS32" s="7">
        <v>0</v>
      </c>
      <c r="AT32" s="7">
        <v>0</v>
      </c>
      <c r="AU32" s="7">
        <v>0</v>
      </c>
      <c r="AV32" s="7">
        <v>0</v>
      </c>
      <c r="AW32" s="7">
        <v>0</v>
      </c>
      <c r="AX32" s="7">
        <v>0</v>
      </c>
    </row>
    <row r="33" spans="6:50" x14ac:dyDescent="0.45">
      <c r="F33" s="3">
        <v>32</v>
      </c>
      <c r="G33" s="7">
        <v>0</v>
      </c>
      <c r="H33" s="7">
        <v>0</v>
      </c>
      <c r="I33" s="7">
        <v>0</v>
      </c>
      <c r="J33" s="7">
        <v>0</v>
      </c>
      <c r="K33" s="7">
        <v>0</v>
      </c>
      <c r="L33" s="7">
        <v>0</v>
      </c>
      <c r="M33" s="7">
        <v>0</v>
      </c>
      <c r="N33" s="7">
        <v>0</v>
      </c>
      <c r="O33" s="7">
        <v>0</v>
      </c>
      <c r="P33" s="7">
        <v>0</v>
      </c>
      <c r="Q33" s="7">
        <v>0</v>
      </c>
      <c r="R33" s="7">
        <v>0</v>
      </c>
      <c r="S33" s="7">
        <v>0</v>
      </c>
      <c r="T33" s="7">
        <v>0</v>
      </c>
      <c r="U33" s="7">
        <v>0</v>
      </c>
      <c r="V33" s="7">
        <v>0</v>
      </c>
      <c r="W33" s="7">
        <v>0</v>
      </c>
      <c r="X33" s="7">
        <v>0</v>
      </c>
      <c r="Y33" s="7">
        <v>0</v>
      </c>
      <c r="Z33" s="7">
        <v>0</v>
      </c>
      <c r="AA33" s="7">
        <v>0</v>
      </c>
      <c r="AB33" s="7">
        <v>0</v>
      </c>
      <c r="AC33" s="7">
        <v>0</v>
      </c>
      <c r="AD33" s="7">
        <v>0</v>
      </c>
      <c r="AE33" s="7">
        <v>0</v>
      </c>
      <c r="AF33" s="7">
        <v>0</v>
      </c>
      <c r="AG33" s="7">
        <v>0</v>
      </c>
      <c r="AH33" s="7">
        <v>0</v>
      </c>
      <c r="AI33" s="7">
        <v>0</v>
      </c>
      <c r="AJ33" s="7">
        <v>0</v>
      </c>
      <c r="AK33" s="7">
        <v>2002.1960520602324</v>
      </c>
      <c r="AL33" s="7">
        <v>0</v>
      </c>
      <c r="AM33" s="7">
        <v>2011.6331675138076</v>
      </c>
      <c r="AN33" s="7">
        <v>0</v>
      </c>
      <c r="AO33" s="7">
        <v>0</v>
      </c>
      <c r="AP33" s="7">
        <v>0</v>
      </c>
      <c r="AQ33" s="7">
        <v>0</v>
      </c>
      <c r="AR33" s="7">
        <v>0</v>
      </c>
      <c r="AS33" s="7">
        <v>0</v>
      </c>
      <c r="AT33" s="7">
        <v>0</v>
      </c>
      <c r="AU33" s="7">
        <v>0</v>
      </c>
      <c r="AV33" s="7">
        <v>0</v>
      </c>
      <c r="AW33" s="7">
        <v>0</v>
      </c>
      <c r="AX33" s="7">
        <v>0</v>
      </c>
    </row>
    <row r="34" spans="6:50" x14ac:dyDescent="0.45">
      <c r="F34" s="3">
        <v>33</v>
      </c>
      <c r="G34" s="7">
        <v>0</v>
      </c>
      <c r="H34" s="7">
        <v>0</v>
      </c>
      <c r="I34" s="7">
        <v>0</v>
      </c>
      <c r="J34" s="7">
        <v>0</v>
      </c>
      <c r="K34" s="7">
        <v>0</v>
      </c>
      <c r="L34" s="7">
        <v>0</v>
      </c>
      <c r="M34" s="7">
        <v>0</v>
      </c>
      <c r="N34" s="7">
        <v>0</v>
      </c>
      <c r="O34" s="7">
        <v>0</v>
      </c>
      <c r="P34" s="7">
        <v>0</v>
      </c>
      <c r="Q34" s="7">
        <v>0</v>
      </c>
      <c r="R34" s="7">
        <v>0</v>
      </c>
      <c r="S34" s="7">
        <v>0</v>
      </c>
      <c r="T34" s="7">
        <v>0</v>
      </c>
      <c r="U34" s="7">
        <v>0</v>
      </c>
      <c r="V34" s="7">
        <v>0</v>
      </c>
      <c r="W34" s="7">
        <v>0</v>
      </c>
      <c r="X34" s="7">
        <v>10094.72345339256</v>
      </c>
      <c r="Y34" s="7">
        <v>0</v>
      </c>
      <c r="Z34" s="7">
        <v>0</v>
      </c>
      <c r="AA34" s="7">
        <v>0</v>
      </c>
      <c r="AB34" s="7">
        <v>0</v>
      </c>
      <c r="AC34" s="7">
        <v>0</v>
      </c>
      <c r="AD34" s="7">
        <v>0</v>
      </c>
      <c r="AE34" s="7">
        <v>0</v>
      </c>
      <c r="AF34" s="7">
        <v>0</v>
      </c>
      <c r="AG34" s="7">
        <v>0</v>
      </c>
      <c r="AH34" s="7">
        <v>0</v>
      </c>
      <c r="AI34" s="7">
        <v>0</v>
      </c>
      <c r="AJ34" s="7">
        <v>0</v>
      </c>
      <c r="AK34" s="7">
        <v>0</v>
      </c>
      <c r="AL34" s="7">
        <v>2002.1960520602324</v>
      </c>
      <c r="AM34" s="7">
        <v>0</v>
      </c>
      <c r="AN34" s="7">
        <v>0</v>
      </c>
      <c r="AO34" s="7">
        <v>0</v>
      </c>
      <c r="AP34" s="7">
        <v>0</v>
      </c>
      <c r="AQ34" s="7">
        <v>0</v>
      </c>
      <c r="AR34" s="7">
        <v>0</v>
      </c>
      <c r="AS34" s="7">
        <v>0</v>
      </c>
      <c r="AT34" s="7">
        <v>0</v>
      </c>
      <c r="AU34" s="7">
        <v>0</v>
      </c>
      <c r="AV34" s="7">
        <v>14848.27135573856</v>
      </c>
      <c r="AW34" s="7">
        <v>0</v>
      </c>
      <c r="AX34" s="7">
        <v>0</v>
      </c>
    </row>
    <row r="35" spans="6:50" x14ac:dyDescent="0.45">
      <c r="F35" s="3">
        <v>34</v>
      </c>
      <c r="G35" s="7">
        <v>0</v>
      </c>
      <c r="H35" s="7">
        <v>0</v>
      </c>
      <c r="I35" s="7">
        <v>0</v>
      </c>
      <c r="J35" s="7">
        <v>0</v>
      </c>
      <c r="K35" s="7">
        <v>0</v>
      </c>
      <c r="L35" s="7">
        <v>0</v>
      </c>
      <c r="M35" s="7">
        <v>0</v>
      </c>
      <c r="N35" s="7">
        <v>0</v>
      </c>
      <c r="O35" s="7">
        <v>0</v>
      </c>
      <c r="P35" s="7">
        <v>0</v>
      </c>
      <c r="Q35" s="7">
        <v>0</v>
      </c>
      <c r="R35" s="7">
        <v>0</v>
      </c>
      <c r="S35" s="7">
        <v>0</v>
      </c>
      <c r="T35" s="7">
        <v>0</v>
      </c>
      <c r="U35" s="7">
        <v>0</v>
      </c>
      <c r="V35" s="7">
        <v>0</v>
      </c>
      <c r="W35" s="7">
        <v>0</v>
      </c>
      <c r="X35" s="7">
        <v>0</v>
      </c>
      <c r="Y35" s="7">
        <v>0</v>
      </c>
      <c r="Z35" s="7">
        <v>0</v>
      </c>
      <c r="AA35" s="7">
        <v>0</v>
      </c>
      <c r="AB35" s="7">
        <v>0</v>
      </c>
      <c r="AC35" s="7">
        <v>0</v>
      </c>
      <c r="AD35" s="7">
        <v>0</v>
      </c>
      <c r="AE35" s="7">
        <v>0</v>
      </c>
      <c r="AF35" s="7">
        <v>0</v>
      </c>
      <c r="AG35" s="7">
        <v>0</v>
      </c>
      <c r="AH35" s="7">
        <v>0</v>
      </c>
      <c r="AI35" s="7">
        <v>0</v>
      </c>
      <c r="AJ35" s="7">
        <v>0</v>
      </c>
      <c r="AK35" s="7">
        <v>0</v>
      </c>
      <c r="AL35" s="7">
        <v>0</v>
      </c>
      <c r="AM35" s="7">
        <v>0</v>
      </c>
      <c r="AN35" s="7">
        <v>0</v>
      </c>
      <c r="AO35" s="7">
        <v>0</v>
      </c>
      <c r="AP35" s="7">
        <v>0</v>
      </c>
      <c r="AQ35" s="7">
        <v>0</v>
      </c>
      <c r="AR35" s="7">
        <v>0</v>
      </c>
      <c r="AS35" s="7">
        <v>0</v>
      </c>
      <c r="AT35" s="7">
        <v>0</v>
      </c>
      <c r="AU35" s="7">
        <v>0</v>
      </c>
      <c r="AV35" s="7">
        <v>0</v>
      </c>
      <c r="AW35" s="7">
        <v>0</v>
      </c>
      <c r="AX35" s="7">
        <v>0</v>
      </c>
    </row>
    <row r="36" spans="6:50" x14ac:dyDescent="0.45">
      <c r="F36" s="3">
        <v>35</v>
      </c>
      <c r="G36" s="7">
        <v>0</v>
      </c>
      <c r="H36" s="7">
        <v>0</v>
      </c>
      <c r="I36" s="7">
        <v>0</v>
      </c>
      <c r="J36" s="7">
        <v>0</v>
      </c>
      <c r="K36" s="7">
        <v>0</v>
      </c>
      <c r="L36" s="7">
        <v>0</v>
      </c>
      <c r="M36" s="7">
        <v>0</v>
      </c>
      <c r="N36" s="7">
        <v>0</v>
      </c>
      <c r="O36" s="7">
        <v>0</v>
      </c>
      <c r="P36" s="7">
        <v>0</v>
      </c>
      <c r="Q36" s="7">
        <v>0</v>
      </c>
      <c r="R36" s="7">
        <v>0</v>
      </c>
      <c r="S36" s="7">
        <v>0</v>
      </c>
      <c r="T36" s="7">
        <v>0</v>
      </c>
      <c r="U36" s="7">
        <v>0</v>
      </c>
      <c r="V36" s="7">
        <v>0</v>
      </c>
      <c r="W36" s="7">
        <v>0</v>
      </c>
      <c r="X36" s="7">
        <v>0</v>
      </c>
      <c r="Y36" s="7">
        <v>0</v>
      </c>
      <c r="Z36" s="7">
        <v>0</v>
      </c>
      <c r="AA36" s="7">
        <v>0</v>
      </c>
      <c r="AB36" s="7">
        <v>0</v>
      </c>
      <c r="AC36" s="7">
        <v>0</v>
      </c>
      <c r="AD36" s="7">
        <v>0</v>
      </c>
      <c r="AE36" s="7">
        <v>0</v>
      </c>
      <c r="AF36" s="7">
        <v>0</v>
      </c>
      <c r="AG36" s="7">
        <v>0</v>
      </c>
      <c r="AH36" s="7">
        <v>0</v>
      </c>
      <c r="AI36" s="7">
        <v>0</v>
      </c>
      <c r="AJ36" s="7">
        <v>0</v>
      </c>
      <c r="AK36" s="7">
        <v>0</v>
      </c>
      <c r="AL36" s="7">
        <v>0</v>
      </c>
      <c r="AM36" s="7">
        <v>0</v>
      </c>
      <c r="AN36" s="7">
        <v>0</v>
      </c>
      <c r="AO36" s="7">
        <v>0</v>
      </c>
      <c r="AP36" s="7">
        <v>0</v>
      </c>
      <c r="AQ36" s="7">
        <v>0</v>
      </c>
      <c r="AR36" s="7">
        <v>0</v>
      </c>
      <c r="AS36" s="7">
        <v>0</v>
      </c>
      <c r="AT36" s="7">
        <v>0</v>
      </c>
      <c r="AU36" s="7">
        <v>0</v>
      </c>
      <c r="AV36" s="7">
        <v>0</v>
      </c>
      <c r="AW36" s="7">
        <v>0</v>
      </c>
      <c r="AX36" s="7">
        <v>0</v>
      </c>
    </row>
    <row r="37" spans="6:50" x14ac:dyDescent="0.45">
      <c r="F37" s="3">
        <v>36</v>
      </c>
      <c r="G37" s="7">
        <v>0</v>
      </c>
      <c r="H37" s="7">
        <v>0</v>
      </c>
      <c r="I37" s="7">
        <v>0</v>
      </c>
      <c r="J37" s="7">
        <v>0</v>
      </c>
      <c r="K37" s="7">
        <v>0</v>
      </c>
      <c r="L37" s="7">
        <v>0</v>
      </c>
      <c r="M37" s="7">
        <v>0</v>
      </c>
      <c r="N37" s="7">
        <v>0</v>
      </c>
      <c r="O37" s="7">
        <v>0</v>
      </c>
      <c r="P37" s="7">
        <v>0</v>
      </c>
      <c r="Q37" s="7">
        <v>0</v>
      </c>
      <c r="R37" s="7">
        <v>0</v>
      </c>
      <c r="S37" s="7">
        <v>0</v>
      </c>
      <c r="T37" s="7">
        <v>0</v>
      </c>
      <c r="U37" s="7">
        <v>0</v>
      </c>
      <c r="V37" s="7">
        <v>0</v>
      </c>
      <c r="W37" s="7">
        <v>0</v>
      </c>
      <c r="X37" s="7">
        <v>0</v>
      </c>
      <c r="Y37" s="7">
        <v>0</v>
      </c>
      <c r="Z37" s="7">
        <v>0</v>
      </c>
      <c r="AA37" s="7">
        <v>7158.7237329555128</v>
      </c>
      <c r="AB37" s="7">
        <v>0</v>
      </c>
      <c r="AC37" s="7">
        <v>0</v>
      </c>
      <c r="AD37" s="7">
        <v>0</v>
      </c>
      <c r="AE37" s="7">
        <v>0</v>
      </c>
      <c r="AF37" s="7">
        <v>0</v>
      </c>
      <c r="AG37" s="7">
        <v>0</v>
      </c>
      <c r="AH37" s="7">
        <v>0</v>
      </c>
      <c r="AI37" s="7">
        <v>0</v>
      </c>
      <c r="AJ37" s="7">
        <v>0</v>
      </c>
      <c r="AK37" s="7">
        <v>0</v>
      </c>
      <c r="AL37" s="7">
        <v>0</v>
      </c>
      <c r="AM37" s="7">
        <v>0</v>
      </c>
      <c r="AN37" s="7">
        <v>0</v>
      </c>
      <c r="AO37" s="7">
        <v>0</v>
      </c>
      <c r="AP37" s="7">
        <v>0</v>
      </c>
      <c r="AQ37" s="7">
        <v>0</v>
      </c>
      <c r="AR37" s="7">
        <v>0</v>
      </c>
      <c r="AS37" s="7">
        <v>0</v>
      </c>
      <c r="AT37" s="7">
        <v>0</v>
      </c>
      <c r="AU37" s="7">
        <v>0</v>
      </c>
      <c r="AV37" s="7">
        <v>0</v>
      </c>
      <c r="AW37" s="7">
        <v>7288.4452000614683</v>
      </c>
      <c r="AX37" s="7">
        <v>0</v>
      </c>
    </row>
    <row r="38" spans="6:50" x14ac:dyDescent="0.45">
      <c r="F38" s="3">
        <v>37</v>
      </c>
      <c r="G38" s="7">
        <v>0</v>
      </c>
      <c r="H38" s="7">
        <v>0</v>
      </c>
      <c r="I38" s="7">
        <v>0</v>
      </c>
      <c r="J38" s="7">
        <v>0</v>
      </c>
      <c r="K38" s="7">
        <v>0</v>
      </c>
      <c r="L38" s="7">
        <v>0</v>
      </c>
      <c r="M38" s="7">
        <v>0</v>
      </c>
      <c r="N38" s="7">
        <v>0</v>
      </c>
      <c r="O38" s="7">
        <v>0</v>
      </c>
      <c r="P38" s="7">
        <v>0</v>
      </c>
      <c r="Q38" s="7">
        <v>0</v>
      </c>
      <c r="R38" s="7">
        <v>0</v>
      </c>
      <c r="S38" s="7">
        <v>0</v>
      </c>
      <c r="T38" s="7">
        <v>0</v>
      </c>
      <c r="U38" s="7">
        <v>0</v>
      </c>
      <c r="V38" s="7">
        <v>0</v>
      </c>
      <c r="W38" s="7">
        <v>0</v>
      </c>
      <c r="X38" s="7">
        <v>0</v>
      </c>
      <c r="Y38" s="7">
        <v>0</v>
      </c>
      <c r="Z38" s="7">
        <v>0</v>
      </c>
      <c r="AA38" s="7">
        <v>0</v>
      </c>
      <c r="AB38" s="7">
        <v>0</v>
      </c>
      <c r="AC38" s="7">
        <v>0</v>
      </c>
      <c r="AD38" s="7">
        <v>0</v>
      </c>
      <c r="AE38" s="7">
        <v>0</v>
      </c>
      <c r="AF38" s="7">
        <v>0</v>
      </c>
      <c r="AG38" s="7">
        <v>0</v>
      </c>
      <c r="AH38" s="7">
        <v>0</v>
      </c>
      <c r="AI38" s="7">
        <v>0</v>
      </c>
      <c r="AJ38" s="7">
        <v>0</v>
      </c>
      <c r="AK38" s="7">
        <v>0</v>
      </c>
      <c r="AL38" s="7">
        <v>0</v>
      </c>
      <c r="AM38" s="7">
        <v>0</v>
      </c>
      <c r="AN38" s="7">
        <v>0</v>
      </c>
      <c r="AO38" s="7">
        <v>0</v>
      </c>
      <c r="AP38" s="7">
        <v>0</v>
      </c>
      <c r="AQ38" s="7">
        <v>0</v>
      </c>
      <c r="AR38" s="7">
        <v>0</v>
      </c>
      <c r="AS38" s="7">
        <v>0</v>
      </c>
      <c r="AT38" s="7">
        <v>0</v>
      </c>
      <c r="AU38" s="7">
        <v>0</v>
      </c>
      <c r="AV38" s="7">
        <v>0</v>
      </c>
      <c r="AW38" s="7">
        <v>0</v>
      </c>
      <c r="AX38" s="7">
        <v>0</v>
      </c>
    </row>
    <row r="39" spans="6:50" x14ac:dyDescent="0.45">
      <c r="F39" s="3">
        <v>38</v>
      </c>
      <c r="G39" s="7">
        <v>0</v>
      </c>
      <c r="H39" s="7">
        <v>0</v>
      </c>
      <c r="I39" s="7">
        <v>0</v>
      </c>
      <c r="J39" s="7">
        <v>0</v>
      </c>
      <c r="K39" s="7">
        <v>0</v>
      </c>
      <c r="L39" s="7">
        <v>0</v>
      </c>
      <c r="M39" s="7">
        <v>0</v>
      </c>
      <c r="N39" s="7">
        <v>0</v>
      </c>
      <c r="O39" s="7">
        <v>0</v>
      </c>
      <c r="P39" s="7">
        <v>0</v>
      </c>
      <c r="Q39" s="7">
        <v>0</v>
      </c>
      <c r="R39" s="7">
        <v>0</v>
      </c>
      <c r="S39" s="7">
        <v>0</v>
      </c>
      <c r="T39" s="7">
        <v>0</v>
      </c>
      <c r="U39" s="7">
        <v>0</v>
      </c>
      <c r="V39" s="7">
        <v>0</v>
      </c>
      <c r="W39" s="7">
        <v>0</v>
      </c>
      <c r="X39" s="7">
        <v>0</v>
      </c>
      <c r="Y39" s="7">
        <v>0</v>
      </c>
      <c r="Z39" s="7">
        <v>0</v>
      </c>
      <c r="AA39" s="7">
        <v>0</v>
      </c>
      <c r="AB39" s="7">
        <v>0</v>
      </c>
      <c r="AC39" s="7">
        <v>0</v>
      </c>
      <c r="AD39" s="7">
        <v>0</v>
      </c>
      <c r="AE39" s="7">
        <v>0</v>
      </c>
      <c r="AF39" s="7">
        <v>0</v>
      </c>
      <c r="AG39" s="7">
        <v>0</v>
      </c>
      <c r="AH39" s="7">
        <v>0</v>
      </c>
      <c r="AI39" s="7">
        <v>0</v>
      </c>
      <c r="AJ39" s="7">
        <v>0</v>
      </c>
      <c r="AK39" s="7">
        <v>0</v>
      </c>
      <c r="AL39" s="7">
        <v>0</v>
      </c>
      <c r="AM39" s="7">
        <v>0</v>
      </c>
      <c r="AN39" s="7">
        <v>0</v>
      </c>
      <c r="AO39" s="7">
        <v>0</v>
      </c>
      <c r="AP39" s="7">
        <v>0</v>
      </c>
      <c r="AQ39" s="7">
        <v>0</v>
      </c>
      <c r="AR39" s="7">
        <v>0</v>
      </c>
      <c r="AS39" s="7">
        <v>0</v>
      </c>
      <c r="AT39" s="7">
        <v>0</v>
      </c>
      <c r="AU39" s="7">
        <v>0</v>
      </c>
      <c r="AV39" s="7">
        <v>0</v>
      </c>
      <c r="AW39" s="7">
        <v>0</v>
      </c>
      <c r="AX39" s="7">
        <v>0</v>
      </c>
    </row>
    <row r="40" spans="6:50" x14ac:dyDescent="0.45">
      <c r="F40" s="3">
        <v>39</v>
      </c>
      <c r="G40" s="7">
        <v>0</v>
      </c>
      <c r="H40" s="7">
        <v>0</v>
      </c>
      <c r="I40" s="7">
        <v>0</v>
      </c>
      <c r="J40" s="7">
        <v>0</v>
      </c>
      <c r="K40" s="7">
        <v>0</v>
      </c>
      <c r="L40" s="7">
        <v>0</v>
      </c>
      <c r="M40" s="7">
        <v>0</v>
      </c>
      <c r="N40" s="7">
        <v>0</v>
      </c>
      <c r="O40" s="7">
        <v>0</v>
      </c>
      <c r="P40" s="7">
        <v>0</v>
      </c>
      <c r="Q40" s="7">
        <v>0</v>
      </c>
      <c r="R40" s="7">
        <v>0</v>
      </c>
      <c r="S40" s="7">
        <v>0</v>
      </c>
      <c r="T40" s="7">
        <v>0</v>
      </c>
      <c r="U40" s="7">
        <v>0</v>
      </c>
      <c r="V40" s="7">
        <v>0</v>
      </c>
      <c r="W40" s="7">
        <v>0</v>
      </c>
      <c r="X40" s="7">
        <v>0</v>
      </c>
      <c r="Y40" s="7">
        <v>0</v>
      </c>
      <c r="Z40" s="7">
        <v>0</v>
      </c>
      <c r="AA40" s="7">
        <v>0</v>
      </c>
      <c r="AB40" s="7">
        <v>0</v>
      </c>
      <c r="AC40" s="7">
        <v>0</v>
      </c>
      <c r="AD40" s="7">
        <v>0</v>
      </c>
      <c r="AE40" s="7">
        <v>0</v>
      </c>
      <c r="AF40" s="7">
        <v>0</v>
      </c>
      <c r="AG40" s="7">
        <v>10247.41404947871</v>
      </c>
      <c r="AH40" s="7">
        <v>0</v>
      </c>
      <c r="AI40" s="7">
        <v>0</v>
      </c>
      <c r="AJ40" s="7">
        <v>0</v>
      </c>
      <c r="AK40" s="7">
        <v>0</v>
      </c>
      <c r="AL40" s="7">
        <v>0</v>
      </c>
      <c r="AM40" s="7">
        <v>0</v>
      </c>
      <c r="AN40" s="7">
        <v>0</v>
      </c>
      <c r="AO40" s="7">
        <v>0</v>
      </c>
      <c r="AP40" s="7">
        <v>0</v>
      </c>
      <c r="AQ40" s="7">
        <v>0</v>
      </c>
      <c r="AR40" s="7">
        <v>0</v>
      </c>
      <c r="AS40" s="7">
        <v>0</v>
      </c>
      <c r="AT40" s="7">
        <v>0</v>
      </c>
      <c r="AU40" s="7">
        <v>0</v>
      </c>
      <c r="AV40" s="7">
        <v>0</v>
      </c>
      <c r="AW40" s="7">
        <v>0</v>
      </c>
      <c r="AX40" s="7">
        <v>10304.262937709242</v>
      </c>
    </row>
    <row r="41" spans="6:50" x14ac:dyDescent="0.45">
      <c r="F41" s="3">
        <v>40</v>
      </c>
      <c r="G41" s="7">
        <v>0</v>
      </c>
      <c r="H41" s="7">
        <v>0</v>
      </c>
      <c r="I41" s="7">
        <v>0</v>
      </c>
      <c r="J41" s="7">
        <v>0</v>
      </c>
      <c r="K41" s="7">
        <v>0</v>
      </c>
      <c r="L41" s="7">
        <v>0</v>
      </c>
      <c r="M41" s="7">
        <v>0</v>
      </c>
      <c r="N41" s="7">
        <v>0</v>
      </c>
      <c r="O41" s="7">
        <v>0</v>
      </c>
      <c r="P41" s="7">
        <v>0</v>
      </c>
      <c r="Q41" s="7">
        <v>0</v>
      </c>
      <c r="R41" s="7">
        <v>0</v>
      </c>
      <c r="S41" s="7">
        <v>0</v>
      </c>
      <c r="T41" s="7">
        <v>0</v>
      </c>
      <c r="U41" s="7">
        <v>0</v>
      </c>
      <c r="V41" s="7">
        <v>0</v>
      </c>
      <c r="W41" s="7">
        <v>0</v>
      </c>
      <c r="X41" s="7">
        <v>0</v>
      </c>
      <c r="Y41" s="7">
        <v>0</v>
      </c>
      <c r="Z41" s="7">
        <v>0</v>
      </c>
      <c r="AA41" s="7">
        <v>0</v>
      </c>
      <c r="AB41" s="7">
        <v>0</v>
      </c>
      <c r="AC41" s="7">
        <v>0</v>
      </c>
      <c r="AD41" s="7">
        <v>0</v>
      </c>
      <c r="AE41" s="7">
        <v>0</v>
      </c>
      <c r="AF41" s="7">
        <v>0</v>
      </c>
      <c r="AG41" s="7">
        <v>0</v>
      </c>
      <c r="AH41" s="7">
        <v>22222.737733863451</v>
      </c>
      <c r="AI41" s="7">
        <v>0</v>
      </c>
      <c r="AJ41" s="7">
        <v>0</v>
      </c>
      <c r="AK41" s="7">
        <v>0</v>
      </c>
      <c r="AL41" s="7">
        <v>0</v>
      </c>
      <c r="AM41" s="7">
        <v>0</v>
      </c>
      <c r="AN41" s="7">
        <v>0</v>
      </c>
      <c r="AO41" s="7">
        <v>0</v>
      </c>
      <c r="AP41" s="7">
        <v>0</v>
      </c>
      <c r="AQ41" s="7">
        <v>0</v>
      </c>
      <c r="AR41" s="7">
        <v>0</v>
      </c>
      <c r="AS41" s="7">
        <v>0</v>
      </c>
      <c r="AT41" s="7">
        <v>0</v>
      </c>
      <c r="AU41" s="7">
        <v>20520.256847041324</v>
      </c>
      <c r="AV41" s="7">
        <v>0</v>
      </c>
      <c r="AW41" s="7">
        <v>0</v>
      </c>
      <c r="AX41" s="7">
        <v>0</v>
      </c>
    </row>
    <row r="42" spans="6:50" x14ac:dyDescent="0.45">
      <c r="F42" s="3">
        <v>41</v>
      </c>
      <c r="G42" s="7">
        <v>0</v>
      </c>
      <c r="H42" s="7">
        <v>0</v>
      </c>
      <c r="I42" s="7">
        <v>0</v>
      </c>
      <c r="J42" s="7">
        <v>0</v>
      </c>
      <c r="K42" s="7">
        <v>0</v>
      </c>
      <c r="L42" s="7">
        <v>0</v>
      </c>
      <c r="M42" s="7">
        <v>0</v>
      </c>
      <c r="N42" s="7">
        <v>0</v>
      </c>
      <c r="O42" s="7">
        <v>0</v>
      </c>
      <c r="P42" s="7">
        <v>0</v>
      </c>
      <c r="Q42" s="7">
        <v>0</v>
      </c>
      <c r="R42" s="7">
        <v>0</v>
      </c>
      <c r="S42" s="7">
        <v>0</v>
      </c>
      <c r="T42" s="7">
        <v>0</v>
      </c>
      <c r="U42" s="7">
        <v>0</v>
      </c>
      <c r="V42" s="7">
        <v>0</v>
      </c>
      <c r="W42" s="7">
        <v>0</v>
      </c>
      <c r="X42" s="7">
        <v>0</v>
      </c>
      <c r="Y42" s="7">
        <v>0</v>
      </c>
      <c r="Z42" s="7">
        <v>0</v>
      </c>
      <c r="AA42" s="7">
        <v>0</v>
      </c>
      <c r="AB42" s="7">
        <v>0</v>
      </c>
      <c r="AC42" s="7">
        <v>0</v>
      </c>
      <c r="AD42" s="7">
        <v>0</v>
      </c>
      <c r="AE42" s="7">
        <v>0</v>
      </c>
      <c r="AF42" s="7">
        <v>0</v>
      </c>
      <c r="AG42" s="7">
        <v>0</v>
      </c>
      <c r="AH42" s="7">
        <v>0</v>
      </c>
      <c r="AI42" s="7">
        <v>0</v>
      </c>
      <c r="AJ42" s="7">
        <v>0</v>
      </c>
      <c r="AK42" s="7">
        <v>0</v>
      </c>
      <c r="AL42" s="7">
        <v>0</v>
      </c>
      <c r="AM42" s="7">
        <v>0</v>
      </c>
      <c r="AN42" s="7">
        <v>0</v>
      </c>
      <c r="AO42" s="7">
        <v>0</v>
      </c>
      <c r="AP42" s="7">
        <v>0</v>
      </c>
      <c r="AQ42" s="7">
        <v>0</v>
      </c>
      <c r="AR42" s="7">
        <v>0</v>
      </c>
      <c r="AS42" s="7">
        <v>0</v>
      </c>
      <c r="AT42" s="7">
        <v>20509.309613565842</v>
      </c>
      <c r="AU42" s="7">
        <v>0</v>
      </c>
      <c r="AV42" s="7">
        <v>20520.256847041324</v>
      </c>
      <c r="AW42" s="7">
        <v>0</v>
      </c>
      <c r="AX42" s="7">
        <v>0</v>
      </c>
    </row>
    <row r="43" spans="6:50" x14ac:dyDescent="0.45">
      <c r="F43" s="3">
        <v>42</v>
      </c>
      <c r="G43" s="7">
        <v>0</v>
      </c>
      <c r="H43" s="7">
        <v>0</v>
      </c>
      <c r="I43" s="7">
        <v>0</v>
      </c>
      <c r="J43" s="7">
        <v>0</v>
      </c>
      <c r="K43" s="7">
        <v>0</v>
      </c>
      <c r="L43" s="7">
        <v>0</v>
      </c>
      <c r="M43" s="7">
        <v>0</v>
      </c>
      <c r="N43" s="7">
        <v>0</v>
      </c>
      <c r="O43" s="7">
        <v>0</v>
      </c>
      <c r="P43" s="7">
        <v>0</v>
      </c>
      <c r="Q43" s="7">
        <v>0</v>
      </c>
      <c r="R43" s="7">
        <v>0</v>
      </c>
      <c r="S43" s="7">
        <v>0</v>
      </c>
      <c r="T43" s="7">
        <v>0</v>
      </c>
      <c r="U43" s="7">
        <v>0</v>
      </c>
      <c r="V43" s="7">
        <v>0</v>
      </c>
      <c r="W43" s="7">
        <v>0</v>
      </c>
      <c r="X43" s="7">
        <v>0</v>
      </c>
      <c r="Y43" s="7">
        <v>0</v>
      </c>
      <c r="Z43" s="7">
        <v>0</v>
      </c>
      <c r="AA43" s="7">
        <v>0</v>
      </c>
      <c r="AB43" s="7">
        <v>0</v>
      </c>
      <c r="AC43" s="7">
        <v>0</v>
      </c>
      <c r="AD43" s="7">
        <v>0</v>
      </c>
      <c r="AE43" s="7">
        <v>0</v>
      </c>
      <c r="AF43" s="7">
        <v>0</v>
      </c>
      <c r="AG43" s="7">
        <v>0</v>
      </c>
      <c r="AH43" s="7">
        <v>0</v>
      </c>
      <c r="AI43" s="7">
        <v>0</v>
      </c>
      <c r="AJ43" s="7">
        <v>0</v>
      </c>
      <c r="AK43" s="7">
        <v>0</v>
      </c>
      <c r="AL43" s="7">
        <v>0</v>
      </c>
      <c r="AM43" s="7">
        <v>14866.239983997808</v>
      </c>
      <c r="AN43" s="7">
        <v>0</v>
      </c>
      <c r="AO43" s="7">
        <v>0</v>
      </c>
      <c r="AP43" s="7">
        <v>0</v>
      </c>
      <c r="AQ43" s="7">
        <v>0</v>
      </c>
      <c r="AR43" s="7">
        <v>0</v>
      </c>
      <c r="AS43" s="7">
        <v>0</v>
      </c>
      <c r="AT43" s="7">
        <v>0</v>
      </c>
      <c r="AU43" s="7">
        <v>20509.309613565842</v>
      </c>
      <c r="AV43" s="7">
        <v>0</v>
      </c>
      <c r="AW43" s="7">
        <v>17905.288057246187</v>
      </c>
      <c r="AX43" s="7">
        <v>0</v>
      </c>
    </row>
    <row r="44" spans="6:50" x14ac:dyDescent="0.45">
      <c r="F44" s="3">
        <v>43</v>
      </c>
      <c r="G44" s="7">
        <v>0</v>
      </c>
      <c r="H44" s="7">
        <v>0</v>
      </c>
      <c r="I44" s="7">
        <v>0</v>
      </c>
      <c r="J44" s="7">
        <v>0</v>
      </c>
      <c r="K44" s="7">
        <v>0</v>
      </c>
      <c r="L44" s="7">
        <v>0</v>
      </c>
      <c r="M44" s="7">
        <v>0</v>
      </c>
      <c r="N44" s="7">
        <v>0</v>
      </c>
      <c r="O44" s="7">
        <v>0</v>
      </c>
      <c r="P44" s="7">
        <v>0</v>
      </c>
      <c r="Q44" s="7">
        <v>0</v>
      </c>
      <c r="R44" s="7">
        <v>0</v>
      </c>
      <c r="S44" s="7">
        <v>0</v>
      </c>
      <c r="T44" s="7">
        <v>0</v>
      </c>
      <c r="U44" s="7">
        <v>0</v>
      </c>
      <c r="V44" s="7">
        <v>0</v>
      </c>
      <c r="W44" s="7">
        <v>0</v>
      </c>
      <c r="X44" s="7">
        <v>0</v>
      </c>
      <c r="Y44" s="7">
        <v>0</v>
      </c>
      <c r="Z44" s="7">
        <v>0</v>
      </c>
      <c r="AA44" s="7">
        <v>0</v>
      </c>
      <c r="AB44" s="7">
        <v>0</v>
      </c>
      <c r="AC44" s="7">
        <v>0</v>
      </c>
      <c r="AD44" s="7">
        <v>0</v>
      </c>
      <c r="AE44" s="7">
        <v>0</v>
      </c>
      <c r="AF44" s="7">
        <v>0</v>
      </c>
      <c r="AG44" s="7">
        <v>0</v>
      </c>
      <c r="AH44" s="7">
        <v>0</v>
      </c>
      <c r="AI44" s="7">
        <v>0</v>
      </c>
      <c r="AJ44" s="7">
        <v>0</v>
      </c>
      <c r="AK44" s="7">
        <v>0</v>
      </c>
      <c r="AL44" s="7">
        <v>0</v>
      </c>
      <c r="AM44" s="7">
        <v>0</v>
      </c>
      <c r="AN44" s="7">
        <v>0</v>
      </c>
      <c r="AO44" s="7">
        <v>0</v>
      </c>
      <c r="AP44" s="7">
        <v>7158.7237329555128</v>
      </c>
      <c r="AQ44" s="7">
        <v>0</v>
      </c>
      <c r="AR44" s="7">
        <v>0</v>
      </c>
      <c r="AS44" s="7">
        <v>0</v>
      </c>
      <c r="AT44" s="7">
        <v>0</v>
      </c>
      <c r="AU44" s="7">
        <v>0</v>
      </c>
      <c r="AV44" s="7">
        <v>17975.206348872915</v>
      </c>
      <c r="AW44" s="7">
        <v>0</v>
      </c>
      <c r="AX44" s="7">
        <v>10247.41404947871</v>
      </c>
    </row>
    <row r="45" spans="6:50" x14ac:dyDescent="0.45">
      <c r="F45" s="3">
        <v>44</v>
      </c>
      <c r="G45" s="7">
        <v>0</v>
      </c>
      <c r="H45" s="7">
        <v>0</v>
      </c>
      <c r="I45" s="7">
        <v>0</v>
      </c>
      <c r="J45" s="7">
        <v>0</v>
      </c>
      <c r="K45" s="7">
        <v>0</v>
      </c>
      <c r="L45" s="7">
        <v>0</v>
      </c>
      <c r="M45" s="7">
        <v>0</v>
      </c>
      <c r="N45" s="7">
        <v>0</v>
      </c>
      <c r="O45" s="7">
        <v>0</v>
      </c>
      <c r="P45" s="7">
        <v>0</v>
      </c>
      <c r="Q45" s="7">
        <v>0</v>
      </c>
      <c r="R45" s="7">
        <v>0</v>
      </c>
      <c r="S45" s="7">
        <v>0</v>
      </c>
      <c r="T45" s="7">
        <v>0</v>
      </c>
      <c r="U45" s="7">
        <v>0</v>
      </c>
      <c r="V45" s="7">
        <v>0</v>
      </c>
      <c r="W45" s="7">
        <v>0</v>
      </c>
      <c r="X45" s="7">
        <v>0</v>
      </c>
      <c r="Y45" s="7">
        <v>0</v>
      </c>
      <c r="Z45" s="7">
        <v>0</v>
      </c>
      <c r="AA45" s="7">
        <v>0</v>
      </c>
      <c r="AB45" s="7">
        <v>0</v>
      </c>
      <c r="AC45" s="7">
        <v>0</v>
      </c>
      <c r="AD45" s="7">
        <v>0</v>
      </c>
      <c r="AE45" s="7">
        <v>0</v>
      </c>
      <c r="AF45" s="7">
        <v>0</v>
      </c>
      <c r="AG45" s="7">
        <v>0</v>
      </c>
      <c r="AH45" s="7">
        <v>0</v>
      </c>
      <c r="AI45" s="7">
        <v>0</v>
      </c>
      <c r="AJ45" s="7">
        <v>0</v>
      </c>
      <c r="AK45" s="7">
        <v>0</v>
      </c>
      <c r="AL45" s="7">
        <v>0</v>
      </c>
      <c r="AM45" s="7">
        <v>0</v>
      </c>
      <c r="AN45" s="7">
        <v>0</v>
      </c>
      <c r="AO45" s="7">
        <v>0</v>
      </c>
      <c r="AP45" s="7">
        <v>0</v>
      </c>
      <c r="AQ45" s="7">
        <v>0</v>
      </c>
      <c r="AR45" s="7">
        <v>0</v>
      </c>
      <c r="AS45" s="7">
        <v>10247.41404947871</v>
      </c>
      <c r="AT45" s="7">
        <v>0</v>
      </c>
      <c r="AU45" s="7">
        <v>0</v>
      </c>
      <c r="AV45" s="7">
        <v>0</v>
      </c>
      <c r="AW45" s="7">
        <v>10304.262937709242</v>
      </c>
      <c r="AX45" s="7">
        <v>0</v>
      </c>
    </row>
  </sheetData>
  <mergeCells count="2">
    <mergeCell ref="A15:D19"/>
    <mergeCell ref="A21:D30"/>
  </mergeCells>
  <conditionalFormatting sqref="G2:AX45">
    <cfRule type="cellIs" dxfId="1" priority="1" operator="greaterThan">
      <formula>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ClearAsgAON">
                <anchor moveWithCells="1" sizeWithCells="1">
                  <from>
                    <xdr:col>0</xdr:col>
                    <xdr:colOff>0</xdr:colOff>
                    <xdr:row>5</xdr:row>
                    <xdr:rowOff>14288</xdr:rowOff>
                  </from>
                  <to>
                    <xdr:col>3</xdr:col>
                    <xdr:colOff>381000</xdr:colOff>
                    <xdr:row>7</xdr:row>
                    <xdr:rowOff>157163</xdr:rowOff>
                  </to>
                </anchor>
              </controlPr>
            </control>
          </mc:Choice>
        </mc:AlternateContent>
        <mc:AlternateContent xmlns:mc="http://schemas.openxmlformats.org/markup-compatibility/2006">
          <mc:Choice Requires="x14">
            <control shapeId="10242" r:id="rId4" name="Button 2">
              <controlPr defaultSize="0" print="0" autoFill="0" autoPict="0" macro="[0]!SAON">
                <anchor moveWithCells="1" sizeWithCells="1">
                  <from>
                    <xdr:col>0</xdr:col>
                    <xdr:colOff>0</xdr:colOff>
                    <xdr:row>9</xdr:row>
                    <xdr:rowOff>14288</xdr:rowOff>
                  </from>
                  <to>
                    <xdr:col>3</xdr:col>
                    <xdr:colOff>381000</xdr:colOff>
                    <xdr:row>11</xdr:row>
                    <xdr:rowOff>157163</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F1AAC-ACAA-4A8A-9A52-0F80AA87CEC6}">
  <sheetPr codeName="AsgInc"/>
  <dimension ref="A1:AX45"/>
  <sheetViews>
    <sheetView zoomScale="60" zoomScaleNormal="60" workbookViewId="0">
      <selection activeCell="D5" sqref="D5"/>
    </sheetView>
  </sheetViews>
  <sheetFormatPr defaultColWidth="8.73046875" defaultRowHeight="14.25" x14ac:dyDescent="0.45"/>
  <cols>
    <col min="1" max="1" width="10" style="1" bestFit="1" customWidth="1"/>
    <col min="2" max="2" width="10.33203125" style="1" bestFit="1" customWidth="1"/>
    <col min="3" max="3" width="6.9296875" style="1" bestFit="1" customWidth="1"/>
    <col min="4" max="4" width="5.73046875" style="1" customWidth="1"/>
    <col min="5" max="5" width="8.73046875" style="1"/>
    <col min="6" max="50" width="5.73046875" style="1" customWidth="1"/>
    <col min="51" max="16384" width="8.73046875" style="1"/>
  </cols>
  <sheetData>
    <row r="1" spans="1:50" x14ac:dyDescent="0.45">
      <c r="A1" s="4" t="s">
        <v>295</v>
      </c>
      <c r="B1" s="4" t="s">
        <v>296</v>
      </c>
      <c r="C1" s="4" t="s">
        <v>297</v>
      </c>
      <c r="D1" s="4" t="s">
        <v>298</v>
      </c>
      <c r="F1" s="4" t="s">
        <v>282</v>
      </c>
      <c r="G1" s="3">
        <v>1</v>
      </c>
      <c r="H1" s="3">
        <v>2</v>
      </c>
      <c r="I1" s="3">
        <v>3</v>
      </c>
      <c r="J1" s="3">
        <v>4</v>
      </c>
      <c r="K1" s="3">
        <v>5</v>
      </c>
      <c r="L1" s="3">
        <v>6</v>
      </c>
      <c r="M1" s="3">
        <v>7</v>
      </c>
      <c r="N1" s="3">
        <v>8</v>
      </c>
      <c r="O1" s="3">
        <v>9</v>
      </c>
      <c r="P1" s="3">
        <v>10</v>
      </c>
      <c r="Q1" s="3">
        <v>11</v>
      </c>
      <c r="R1" s="3">
        <v>12</v>
      </c>
      <c r="S1" s="3">
        <v>13</v>
      </c>
      <c r="T1" s="3">
        <v>14</v>
      </c>
      <c r="U1" s="3">
        <v>15</v>
      </c>
      <c r="V1" s="3">
        <v>16</v>
      </c>
      <c r="W1" s="3">
        <v>17</v>
      </c>
      <c r="X1" s="3">
        <v>18</v>
      </c>
      <c r="Y1" s="3">
        <v>19</v>
      </c>
      <c r="Z1" s="3">
        <v>20</v>
      </c>
      <c r="AA1" s="3">
        <v>21</v>
      </c>
      <c r="AB1" s="3">
        <v>22</v>
      </c>
      <c r="AC1" s="3">
        <v>23</v>
      </c>
      <c r="AD1" s="3">
        <v>24</v>
      </c>
      <c r="AE1" s="3">
        <v>25</v>
      </c>
      <c r="AF1" s="3">
        <v>26</v>
      </c>
      <c r="AG1" s="3">
        <v>27</v>
      </c>
      <c r="AH1" s="3">
        <v>28</v>
      </c>
      <c r="AI1" s="3">
        <v>29</v>
      </c>
      <c r="AJ1" s="3">
        <v>30</v>
      </c>
      <c r="AK1" s="3">
        <v>31</v>
      </c>
      <c r="AL1" s="3">
        <v>32</v>
      </c>
      <c r="AM1" s="3">
        <v>33</v>
      </c>
      <c r="AN1" s="3">
        <v>34</v>
      </c>
      <c r="AO1" s="3">
        <v>35</v>
      </c>
      <c r="AP1" s="3">
        <v>36</v>
      </c>
      <c r="AQ1" s="3">
        <v>37</v>
      </c>
      <c r="AR1" s="3">
        <v>38</v>
      </c>
      <c r="AS1" s="3">
        <v>39</v>
      </c>
      <c r="AT1" s="3">
        <v>40</v>
      </c>
      <c r="AU1" s="3">
        <v>41</v>
      </c>
      <c r="AV1" s="3">
        <v>42</v>
      </c>
      <c r="AW1" s="3">
        <v>43</v>
      </c>
      <c r="AX1" s="3">
        <v>44</v>
      </c>
    </row>
    <row r="2" spans="1:50" x14ac:dyDescent="0.45">
      <c r="A2" s="5" t="s">
        <v>282</v>
      </c>
      <c r="B2" s="1" t="s">
        <v>17</v>
      </c>
      <c r="C2" s="1" t="s">
        <v>299</v>
      </c>
      <c r="F2" s="3">
        <v>1</v>
      </c>
      <c r="G2" s="7">
        <v>0</v>
      </c>
      <c r="H2" s="7">
        <v>0</v>
      </c>
      <c r="I2" s="7">
        <v>0</v>
      </c>
      <c r="J2" s="7">
        <v>0</v>
      </c>
      <c r="K2" s="7">
        <v>0</v>
      </c>
      <c r="L2" s="7">
        <v>0</v>
      </c>
      <c r="M2" s="7">
        <v>0</v>
      </c>
      <c r="N2" s="7">
        <v>0</v>
      </c>
      <c r="O2" s="7">
        <v>0</v>
      </c>
      <c r="P2" s="7">
        <v>0</v>
      </c>
      <c r="Q2" s="7">
        <v>0</v>
      </c>
      <c r="R2" s="7">
        <v>0</v>
      </c>
      <c r="S2" s="7">
        <v>0</v>
      </c>
      <c r="T2" s="7">
        <v>0</v>
      </c>
      <c r="U2" s="7">
        <v>0</v>
      </c>
      <c r="V2" s="7">
        <v>0</v>
      </c>
      <c r="W2" s="7">
        <v>0</v>
      </c>
      <c r="X2" s="7">
        <v>0</v>
      </c>
      <c r="Y2" s="7">
        <v>0</v>
      </c>
      <c r="Z2" s="7">
        <v>0</v>
      </c>
      <c r="AA2" s="7">
        <v>0</v>
      </c>
      <c r="AB2" s="7">
        <v>0</v>
      </c>
      <c r="AC2" s="7">
        <v>0</v>
      </c>
      <c r="AD2" s="7">
        <v>0</v>
      </c>
      <c r="AE2" s="7">
        <v>0</v>
      </c>
      <c r="AF2" s="7">
        <v>0</v>
      </c>
      <c r="AG2" s="7">
        <v>0</v>
      </c>
      <c r="AH2" s="7">
        <v>0</v>
      </c>
      <c r="AI2" s="7">
        <v>0</v>
      </c>
      <c r="AJ2" s="7">
        <v>0</v>
      </c>
      <c r="AK2" s="7">
        <v>0</v>
      </c>
      <c r="AL2" s="7">
        <v>0</v>
      </c>
      <c r="AM2" s="7">
        <v>0</v>
      </c>
      <c r="AN2" s="7">
        <v>0</v>
      </c>
      <c r="AO2" s="7">
        <v>0</v>
      </c>
      <c r="AP2" s="7">
        <v>0</v>
      </c>
      <c r="AQ2" s="7">
        <v>0</v>
      </c>
      <c r="AR2" s="7">
        <v>0</v>
      </c>
      <c r="AS2" s="7">
        <v>0</v>
      </c>
      <c r="AT2" s="7">
        <v>0</v>
      </c>
      <c r="AU2" s="7">
        <v>0</v>
      </c>
      <c r="AV2" s="7">
        <v>0</v>
      </c>
      <c r="AW2" s="7">
        <v>0</v>
      </c>
      <c r="AX2" s="7">
        <v>0</v>
      </c>
    </row>
    <row r="3" spans="1:50" x14ac:dyDescent="0.45">
      <c r="A3" s="5" t="s">
        <v>284</v>
      </c>
      <c r="B3" s="1" t="s">
        <v>17</v>
      </c>
      <c r="C3" s="1" t="s">
        <v>300</v>
      </c>
      <c r="D3" s="1">
        <v>1</v>
      </c>
      <c r="F3" s="3">
        <v>2</v>
      </c>
      <c r="G3" s="7">
        <v>0</v>
      </c>
      <c r="H3" s="7">
        <v>0</v>
      </c>
      <c r="I3" s="7">
        <v>0</v>
      </c>
      <c r="J3" s="7">
        <v>0</v>
      </c>
      <c r="K3" s="7">
        <v>0</v>
      </c>
      <c r="L3" s="7">
        <v>0</v>
      </c>
      <c r="M3" s="7">
        <v>0</v>
      </c>
      <c r="N3" s="7">
        <v>0</v>
      </c>
      <c r="O3" s="7">
        <v>0</v>
      </c>
      <c r="P3" s="7">
        <v>0</v>
      </c>
      <c r="Q3" s="7">
        <v>0</v>
      </c>
      <c r="R3" s="7">
        <v>0</v>
      </c>
      <c r="S3" s="7">
        <v>0</v>
      </c>
      <c r="T3" s="7">
        <v>0</v>
      </c>
      <c r="U3" s="7">
        <v>0</v>
      </c>
      <c r="V3" s="7">
        <v>0</v>
      </c>
      <c r="W3" s="7">
        <v>0</v>
      </c>
      <c r="X3" s="7">
        <v>0</v>
      </c>
      <c r="Y3" s="7">
        <v>0</v>
      </c>
      <c r="Z3" s="7">
        <v>0</v>
      </c>
      <c r="AA3" s="7">
        <v>0</v>
      </c>
      <c r="AB3" s="7">
        <v>0</v>
      </c>
      <c r="AC3" s="7">
        <v>0</v>
      </c>
      <c r="AD3" s="7">
        <v>0</v>
      </c>
      <c r="AE3" s="7">
        <v>0</v>
      </c>
      <c r="AF3" s="7">
        <v>0</v>
      </c>
      <c r="AG3" s="7">
        <v>0</v>
      </c>
      <c r="AH3" s="7">
        <v>0</v>
      </c>
      <c r="AI3" s="7">
        <v>0</v>
      </c>
      <c r="AJ3" s="7">
        <v>0</v>
      </c>
      <c r="AK3" s="7">
        <v>0</v>
      </c>
      <c r="AL3" s="7">
        <v>0</v>
      </c>
      <c r="AM3" s="7">
        <v>0</v>
      </c>
      <c r="AN3" s="7">
        <v>0</v>
      </c>
      <c r="AO3" s="7">
        <v>0</v>
      </c>
      <c r="AP3" s="7">
        <v>0</v>
      </c>
      <c r="AQ3" s="7">
        <v>0</v>
      </c>
      <c r="AR3" s="7">
        <v>0</v>
      </c>
      <c r="AS3" s="7">
        <v>0</v>
      </c>
      <c r="AT3" s="7">
        <v>0</v>
      </c>
      <c r="AU3" s="7">
        <v>0</v>
      </c>
      <c r="AV3" s="7">
        <v>0</v>
      </c>
      <c r="AW3" s="7">
        <v>0</v>
      </c>
      <c r="AX3" s="7">
        <v>0</v>
      </c>
    </row>
    <row r="4" spans="1:50" x14ac:dyDescent="0.45">
      <c r="A4" s="5" t="s">
        <v>285</v>
      </c>
      <c r="B4" s="1" t="s">
        <v>22</v>
      </c>
      <c r="C4" s="1" t="s">
        <v>320</v>
      </c>
      <c r="D4" s="1">
        <v>10</v>
      </c>
      <c r="F4" s="3">
        <v>3</v>
      </c>
      <c r="G4" s="7">
        <v>0</v>
      </c>
      <c r="H4" s="7">
        <v>0</v>
      </c>
      <c r="I4" s="7">
        <v>0</v>
      </c>
      <c r="J4" s="7">
        <v>0</v>
      </c>
      <c r="K4" s="7">
        <v>0</v>
      </c>
      <c r="L4" s="7">
        <v>0</v>
      </c>
      <c r="M4" s="7">
        <v>0</v>
      </c>
      <c r="N4" s="7">
        <v>0</v>
      </c>
      <c r="O4" s="7">
        <v>0</v>
      </c>
      <c r="P4" s="7">
        <v>0</v>
      </c>
      <c r="Q4" s="7">
        <v>0</v>
      </c>
      <c r="R4" s="7">
        <v>0</v>
      </c>
      <c r="S4" s="7">
        <v>0</v>
      </c>
      <c r="T4" s="7">
        <v>0</v>
      </c>
      <c r="U4" s="7">
        <v>0</v>
      </c>
      <c r="V4" s="7">
        <v>0</v>
      </c>
      <c r="W4" s="7">
        <v>0</v>
      </c>
      <c r="X4" s="7">
        <v>0</v>
      </c>
      <c r="Y4" s="7">
        <v>0</v>
      </c>
      <c r="Z4" s="7">
        <v>0</v>
      </c>
      <c r="AA4" s="7">
        <v>0</v>
      </c>
      <c r="AB4" s="7">
        <v>0</v>
      </c>
      <c r="AC4" s="7">
        <v>0</v>
      </c>
      <c r="AD4" s="7">
        <v>0</v>
      </c>
      <c r="AE4" s="7">
        <v>0</v>
      </c>
      <c r="AF4" s="7">
        <v>0</v>
      </c>
      <c r="AG4" s="7">
        <v>0</v>
      </c>
      <c r="AH4" s="7">
        <v>0</v>
      </c>
      <c r="AI4" s="7">
        <v>0</v>
      </c>
      <c r="AJ4" s="7">
        <v>0</v>
      </c>
      <c r="AK4" s="7">
        <v>0</v>
      </c>
      <c r="AL4" s="7">
        <v>0</v>
      </c>
      <c r="AM4" s="7">
        <v>0</v>
      </c>
      <c r="AN4" s="7">
        <v>0</v>
      </c>
      <c r="AO4" s="7">
        <v>0</v>
      </c>
      <c r="AP4" s="7">
        <v>0</v>
      </c>
      <c r="AQ4" s="7">
        <v>0</v>
      </c>
      <c r="AR4" s="7">
        <v>0</v>
      </c>
      <c r="AS4" s="7">
        <v>0</v>
      </c>
      <c r="AT4" s="7">
        <v>0</v>
      </c>
      <c r="AU4" s="7">
        <v>0</v>
      </c>
      <c r="AV4" s="7">
        <v>0</v>
      </c>
      <c r="AW4" s="7">
        <v>0</v>
      </c>
      <c r="AX4" s="7">
        <v>0</v>
      </c>
    </row>
    <row r="5" spans="1:50" x14ac:dyDescent="0.45">
      <c r="A5" s="5" t="s">
        <v>287</v>
      </c>
      <c r="B5" s="1" t="s">
        <v>33</v>
      </c>
      <c r="C5" s="1" t="s">
        <v>314</v>
      </c>
      <c r="D5" s="1">
        <v>10</v>
      </c>
      <c r="F5" s="3">
        <v>4</v>
      </c>
      <c r="G5" s="7">
        <v>0</v>
      </c>
      <c r="H5" s="7">
        <v>0</v>
      </c>
      <c r="I5" s="7">
        <v>0</v>
      </c>
      <c r="J5" s="7">
        <v>0</v>
      </c>
      <c r="K5" s="7">
        <v>0</v>
      </c>
      <c r="L5" s="7">
        <v>0</v>
      </c>
      <c r="M5" s="7">
        <v>0</v>
      </c>
      <c r="N5" s="7">
        <v>0</v>
      </c>
      <c r="O5" s="7">
        <v>0</v>
      </c>
      <c r="P5" s="7">
        <v>0</v>
      </c>
      <c r="Q5" s="7">
        <v>0</v>
      </c>
      <c r="R5" s="7">
        <v>0</v>
      </c>
      <c r="S5" s="7">
        <v>0</v>
      </c>
      <c r="T5" s="7">
        <v>0</v>
      </c>
      <c r="U5" s="7">
        <v>0</v>
      </c>
      <c r="V5" s="7">
        <v>0</v>
      </c>
      <c r="W5" s="7">
        <v>0</v>
      </c>
      <c r="X5" s="7">
        <v>0</v>
      </c>
      <c r="Y5" s="7">
        <v>0</v>
      </c>
      <c r="Z5" s="7">
        <v>0</v>
      </c>
      <c r="AA5" s="7">
        <v>0</v>
      </c>
      <c r="AB5" s="7">
        <v>0</v>
      </c>
      <c r="AC5" s="7">
        <v>0</v>
      </c>
      <c r="AD5" s="7">
        <v>0</v>
      </c>
      <c r="AE5" s="7">
        <v>0</v>
      </c>
      <c r="AF5" s="7">
        <v>0</v>
      </c>
      <c r="AG5" s="7">
        <v>0</v>
      </c>
      <c r="AH5" s="7">
        <v>0</v>
      </c>
      <c r="AI5" s="7">
        <v>0</v>
      </c>
      <c r="AJ5" s="7">
        <v>0</v>
      </c>
      <c r="AK5" s="7">
        <v>0</v>
      </c>
      <c r="AL5" s="7">
        <v>0</v>
      </c>
      <c r="AM5" s="7">
        <v>0</v>
      </c>
      <c r="AN5" s="7">
        <v>0</v>
      </c>
      <c r="AO5" s="7">
        <v>0</v>
      </c>
      <c r="AP5" s="7">
        <v>0</v>
      </c>
      <c r="AQ5" s="7">
        <v>0</v>
      </c>
      <c r="AR5" s="7">
        <v>0</v>
      </c>
      <c r="AS5" s="7">
        <v>0</v>
      </c>
      <c r="AT5" s="7">
        <v>0</v>
      </c>
      <c r="AU5" s="7">
        <v>0</v>
      </c>
      <c r="AV5" s="7">
        <v>0</v>
      </c>
      <c r="AW5" s="7">
        <v>0</v>
      </c>
      <c r="AX5" s="7">
        <v>0</v>
      </c>
    </row>
    <row r="6" spans="1:50" x14ac:dyDescent="0.45">
      <c r="F6" s="3">
        <v>5</v>
      </c>
      <c r="G6" s="7">
        <v>0</v>
      </c>
      <c r="H6" s="7">
        <v>0</v>
      </c>
      <c r="I6" s="7">
        <v>0</v>
      </c>
      <c r="J6" s="7">
        <v>0</v>
      </c>
      <c r="K6" s="7">
        <v>0</v>
      </c>
      <c r="L6" s="7">
        <v>0</v>
      </c>
      <c r="M6" s="7">
        <v>0</v>
      </c>
      <c r="N6" s="7">
        <v>0</v>
      </c>
      <c r="O6" s="7">
        <v>0</v>
      </c>
      <c r="P6" s="7">
        <v>0</v>
      </c>
      <c r="Q6" s="7">
        <v>0</v>
      </c>
      <c r="R6" s="7">
        <v>0</v>
      </c>
      <c r="S6" s="7">
        <v>0</v>
      </c>
      <c r="T6" s="7">
        <v>0</v>
      </c>
      <c r="U6" s="7">
        <v>0</v>
      </c>
      <c r="V6" s="7">
        <v>0</v>
      </c>
      <c r="W6" s="7">
        <v>0</v>
      </c>
      <c r="X6" s="7">
        <v>0</v>
      </c>
      <c r="Y6" s="7">
        <v>0</v>
      </c>
      <c r="Z6" s="7">
        <v>0</v>
      </c>
      <c r="AA6" s="7">
        <v>0</v>
      </c>
      <c r="AB6" s="7">
        <v>0</v>
      </c>
      <c r="AC6" s="7">
        <v>0</v>
      </c>
      <c r="AD6" s="7">
        <v>0</v>
      </c>
      <c r="AE6" s="7">
        <v>0</v>
      </c>
      <c r="AF6" s="7">
        <v>0</v>
      </c>
      <c r="AG6" s="7">
        <v>0</v>
      </c>
      <c r="AH6" s="7">
        <v>0</v>
      </c>
      <c r="AI6" s="7">
        <v>0</v>
      </c>
      <c r="AJ6" s="7">
        <v>0</v>
      </c>
      <c r="AK6" s="7">
        <v>0</v>
      </c>
      <c r="AL6" s="7">
        <v>0</v>
      </c>
      <c r="AM6" s="7">
        <v>0</v>
      </c>
      <c r="AN6" s="7">
        <v>0</v>
      </c>
      <c r="AO6" s="7">
        <v>0</v>
      </c>
      <c r="AP6" s="7">
        <v>0</v>
      </c>
      <c r="AQ6" s="7">
        <v>0</v>
      </c>
      <c r="AR6" s="7">
        <v>0</v>
      </c>
      <c r="AS6" s="7">
        <v>0</v>
      </c>
      <c r="AT6" s="7">
        <v>0</v>
      </c>
      <c r="AU6" s="7">
        <v>0</v>
      </c>
      <c r="AV6" s="7">
        <v>0</v>
      </c>
      <c r="AW6" s="7">
        <v>0</v>
      </c>
      <c r="AX6" s="7">
        <v>0</v>
      </c>
    </row>
    <row r="7" spans="1:50" x14ac:dyDescent="0.45">
      <c r="F7" s="3">
        <v>6</v>
      </c>
      <c r="G7" s="7">
        <v>0</v>
      </c>
      <c r="H7" s="7">
        <v>0</v>
      </c>
      <c r="I7" s="7">
        <v>0</v>
      </c>
      <c r="J7" s="7">
        <v>0</v>
      </c>
      <c r="K7" s="7">
        <v>0</v>
      </c>
      <c r="L7" s="7">
        <v>0</v>
      </c>
      <c r="M7" s="7">
        <v>0</v>
      </c>
      <c r="N7" s="7">
        <v>0</v>
      </c>
      <c r="O7" s="7">
        <v>0</v>
      </c>
      <c r="P7" s="7">
        <v>0</v>
      </c>
      <c r="Q7" s="7">
        <v>0</v>
      </c>
      <c r="R7" s="7">
        <v>0</v>
      </c>
      <c r="S7" s="7">
        <v>0</v>
      </c>
      <c r="T7" s="7">
        <v>0</v>
      </c>
      <c r="U7" s="7">
        <v>0</v>
      </c>
      <c r="V7" s="7">
        <v>0</v>
      </c>
      <c r="W7" s="7">
        <v>0</v>
      </c>
      <c r="X7" s="7">
        <v>0</v>
      </c>
      <c r="Y7" s="7">
        <v>0</v>
      </c>
      <c r="Z7" s="7">
        <v>0</v>
      </c>
      <c r="AA7" s="7">
        <v>0</v>
      </c>
      <c r="AB7" s="7">
        <v>0</v>
      </c>
      <c r="AC7" s="7">
        <v>0</v>
      </c>
      <c r="AD7" s="7">
        <v>0</v>
      </c>
      <c r="AE7" s="7">
        <v>0</v>
      </c>
      <c r="AF7" s="7">
        <v>0</v>
      </c>
      <c r="AG7" s="7">
        <v>0</v>
      </c>
      <c r="AH7" s="7">
        <v>0</v>
      </c>
      <c r="AI7" s="7">
        <v>0</v>
      </c>
      <c r="AJ7" s="7">
        <v>0</v>
      </c>
      <c r="AK7" s="7">
        <v>0</v>
      </c>
      <c r="AL7" s="7">
        <v>0</v>
      </c>
      <c r="AM7" s="7">
        <v>0</v>
      </c>
      <c r="AN7" s="7">
        <v>0</v>
      </c>
      <c r="AO7" s="7">
        <v>0</v>
      </c>
      <c r="AP7" s="7">
        <v>0</v>
      </c>
      <c r="AQ7" s="7">
        <v>0</v>
      </c>
      <c r="AR7" s="7">
        <v>0</v>
      </c>
      <c r="AS7" s="7">
        <v>0</v>
      </c>
      <c r="AT7" s="7">
        <v>0</v>
      </c>
      <c r="AU7" s="7">
        <v>0</v>
      </c>
      <c r="AV7" s="7">
        <v>0</v>
      </c>
      <c r="AW7" s="7">
        <v>0</v>
      </c>
      <c r="AX7" s="7">
        <v>0</v>
      </c>
    </row>
    <row r="8" spans="1:50" x14ac:dyDescent="0.45">
      <c r="F8" s="3">
        <v>7</v>
      </c>
      <c r="G8" s="7">
        <v>0</v>
      </c>
      <c r="H8" s="7">
        <v>0</v>
      </c>
      <c r="I8" s="7">
        <v>0</v>
      </c>
      <c r="J8" s="7">
        <v>0</v>
      </c>
      <c r="K8" s="7">
        <v>0</v>
      </c>
      <c r="L8" s="7">
        <v>0</v>
      </c>
      <c r="M8" s="7">
        <v>0</v>
      </c>
      <c r="N8" s="7">
        <v>0</v>
      </c>
      <c r="O8" s="7">
        <v>0</v>
      </c>
      <c r="P8" s="7">
        <v>0</v>
      </c>
      <c r="Q8" s="7">
        <v>0</v>
      </c>
      <c r="R8" s="7">
        <v>0</v>
      </c>
      <c r="S8" s="7">
        <v>0</v>
      </c>
      <c r="T8" s="7">
        <v>0</v>
      </c>
      <c r="U8" s="7">
        <v>0</v>
      </c>
      <c r="V8" s="7">
        <v>0</v>
      </c>
      <c r="W8" s="7">
        <v>0</v>
      </c>
      <c r="X8" s="7">
        <v>0</v>
      </c>
      <c r="Y8" s="7">
        <v>0</v>
      </c>
      <c r="Z8" s="7">
        <v>0</v>
      </c>
      <c r="AA8" s="7">
        <v>0</v>
      </c>
      <c r="AB8" s="7">
        <v>0</v>
      </c>
      <c r="AC8" s="7">
        <v>0</v>
      </c>
      <c r="AD8" s="7">
        <v>0</v>
      </c>
      <c r="AE8" s="7">
        <v>0</v>
      </c>
      <c r="AF8" s="7">
        <v>0</v>
      </c>
      <c r="AG8" s="7">
        <v>0</v>
      </c>
      <c r="AH8" s="7">
        <v>0</v>
      </c>
      <c r="AI8" s="7">
        <v>0</v>
      </c>
      <c r="AJ8" s="7">
        <v>0</v>
      </c>
      <c r="AK8" s="7">
        <v>0</v>
      </c>
      <c r="AL8" s="7">
        <v>0</v>
      </c>
      <c r="AM8" s="7">
        <v>0</v>
      </c>
      <c r="AN8" s="7">
        <v>0</v>
      </c>
      <c r="AO8" s="7">
        <v>0</v>
      </c>
      <c r="AP8" s="7">
        <v>0</v>
      </c>
      <c r="AQ8" s="7">
        <v>0</v>
      </c>
      <c r="AR8" s="7">
        <v>0</v>
      </c>
      <c r="AS8" s="7">
        <v>0</v>
      </c>
      <c r="AT8" s="7">
        <v>0</v>
      </c>
      <c r="AU8" s="7">
        <v>0</v>
      </c>
      <c r="AV8" s="7">
        <v>0</v>
      </c>
      <c r="AW8" s="7">
        <v>0</v>
      </c>
      <c r="AX8" s="7">
        <v>0</v>
      </c>
    </row>
    <row r="9" spans="1:50" x14ac:dyDescent="0.45">
      <c r="F9" s="3">
        <v>8</v>
      </c>
      <c r="G9" s="7">
        <v>0</v>
      </c>
      <c r="H9" s="7">
        <v>0</v>
      </c>
      <c r="I9" s="7">
        <v>0</v>
      </c>
      <c r="J9" s="7">
        <v>0</v>
      </c>
      <c r="K9" s="7">
        <v>0</v>
      </c>
      <c r="L9" s="7">
        <v>0</v>
      </c>
      <c r="M9" s="7">
        <v>0</v>
      </c>
      <c r="N9" s="7">
        <v>0</v>
      </c>
      <c r="O9" s="7">
        <v>0</v>
      </c>
      <c r="P9" s="7">
        <v>0</v>
      </c>
      <c r="Q9" s="7">
        <v>0</v>
      </c>
      <c r="R9" s="7">
        <v>0</v>
      </c>
      <c r="S9" s="7">
        <v>0</v>
      </c>
      <c r="T9" s="7">
        <v>0</v>
      </c>
      <c r="U9" s="7">
        <v>0</v>
      </c>
      <c r="V9" s="7">
        <v>0</v>
      </c>
      <c r="W9" s="7">
        <v>0</v>
      </c>
      <c r="X9" s="7">
        <v>0</v>
      </c>
      <c r="Y9" s="7">
        <v>0</v>
      </c>
      <c r="Z9" s="7">
        <v>0</v>
      </c>
      <c r="AA9" s="7">
        <v>0</v>
      </c>
      <c r="AB9" s="7">
        <v>0</v>
      </c>
      <c r="AC9" s="7">
        <v>0</v>
      </c>
      <c r="AD9" s="7">
        <v>0</v>
      </c>
      <c r="AE9" s="7">
        <v>0</v>
      </c>
      <c r="AF9" s="7">
        <v>0</v>
      </c>
      <c r="AG9" s="7">
        <v>0</v>
      </c>
      <c r="AH9" s="7">
        <v>0</v>
      </c>
      <c r="AI9" s="7">
        <v>0</v>
      </c>
      <c r="AJ9" s="7">
        <v>0</v>
      </c>
      <c r="AK9" s="7">
        <v>0</v>
      </c>
      <c r="AL9" s="7">
        <v>0</v>
      </c>
      <c r="AM9" s="7">
        <v>0</v>
      </c>
      <c r="AN9" s="7">
        <v>0</v>
      </c>
      <c r="AO9" s="7">
        <v>0</v>
      </c>
      <c r="AP9" s="7">
        <v>0</v>
      </c>
      <c r="AQ9" s="7">
        <v>0</v>
      </c>
      <c r="AR9" s="7">
        <v>0</v>
      </c>
      <c r="AS9" s="7">
        <v>0</v>
      </c>
      <c r="AT9" s="7">
        <v>0</v>
      </c>
      <c r="AU9" s="7">
        <v>0</v>
      </c>
      <c r="AV9" s="7">
        <v>0</v>
      </c>
      <c r="AW9" s="7">
        <v>0</v>
      </c>
      <c r="AX9" s="7">
        <v>0</v>
      </c>
    </row>
    <row r="10" spans="1:50" x14ac:dyDescent="0.45">
      <c r="F10" s="3">
        <v>9</v>
      </c>
      <c r="G10" s="7">
        <v>0</v>
      </c>
      <c r="H10" s="7">
        <v>0</v>
      </c>
      <c r="I10" s="7">
        <v>0</v>
      </c>
      <c r="J10" s="7">
        <v>0</v>
      </c>
      <c r="K10" s="7">
        <v>0</v>
      </c>
      <c r="L10" s="7">
        <v>0</v>
      </c>
      <c r="M10" s="7">
        <v>0</v>
      </c>
      <c r="N10" s="7">
        <v>0</v>
      </c>
      <c r="O10" s="7">
        <v>0</v>
      </c>
      <c r="P10" s="7">
        <v>5814.0296842642265</v>
      </c>
      <c r="Q10" s="7">
        <v>0</v>
      </c>
      <c r="R10" s="7">
        <v>0</v>
      </c>
      <c r="S10" s="7">
        <v>0</v>
      </c>
      <c r="T10" s="7">
        <v>0</v>
      </c>
      <c r="U10" s="7">
        <v>0</v>
      </c>
      <c r="V10" s="7">
        <v>0</v>
      </c>
      <c r="W10" s="7">
        <v>0</v>
      </c>
      <c r="X10" s="7">
        <v>0</v>
      </c>
      <c r="Y10" s="7">
        <v>0</v>
      </c>
      <c r="Z10" s="7">
        <v>0</v>
      </c>
      <c r="AA10" s="7">
        <v>0</v>
      </c>
      <c r="AB10" s="7">
        <v>0</v>
      </c>
      <c r="AC10" s="7">
        <v>0</v>
      </c>
      <c r="AD10" s="7">
        <v>7280.5395318776846</v>
      </c>
      <c r="AE10" s="7">
        <v>0</v>
      </c>
      <c r="AF10" s="7">
        <v>0</v>
      </c>
      <c r="AG10" s="7">
        <v>0</v>
      </c>
      <c r="AH10" s="7">
        <v>0</v>
      </c>
      <c r="AI10" s="7">
        <v>0</v>
      </c>
      <c r="AJ10" s="7">
        <v>0</v>
      </c>
      <c r="AK10" s="7">
        <v>0</v>
      </c>
      <c r="AL10" s="7">
        <v>0</v>
      </c>
      <c r="AM10" s="7">
        <v>0</v>
      </c>
      <c r="AN10" s="7">
        <v>0</v>
      </c>
      <c r="AO10" s="7">
        <v>0</v>
      </c>
      <c r="AP10" s="7">
        <v>0</v>
      </c>
      <c r="AQ10" s="7">
        <v>0</v>
      </c>
      <c r="AR10" s="7">
        <v>0</v>
      </c>
      <c r="AS10" s="7">
        <v>0</v>
      </c>
      <c r="AT10" s="7">
        <v>0</v>
      </c>
      <c r="AU10" s="7">
        <v>0</v>
      </c>
      <c r="AV10" s="7">
        <v>0</v>
      </c>
      <c r="AW10" s="7">
        <v>0</v>
      </c>
      <c r="AX10" s="7">
        <v>0</v>
      </c>
    </row>
    <row r="11" spans="1:50" x14ac:dyDescent="0.45">
      <c r="F11" s="3">
        <v>10</v>
      </c>
      <c r="G11" s="7">
        <v>0</v>
      </c>
      <c r="H11" s="7">
        <v>0</v>
      </c>
      <c r="I11" s="7">
        <v>0</v>
      </c>
      <c r="J11" s="7">
        <v>0</v>
      </c>
      <c r="K11" s="7">
        <v>0</v>
      </c>
      <c r="L11" s="7">
        <v>0</v>
      </c>
      <c r="M11" s="7">
        <v>0</v>
      </c>
      <c r="N11" s="7">
        <v>0</v>
      </c>
      <c r="O11" s="7">
        <v>5969.1006884366698</v>
      </c>
      <c r="P11" s="7">
        <v>0</v>
      </c>
      <c r="Q11" s="7">
        <v>5611.5796480647596</v>
      </c>
      <c r="R11" s="7">
        <v>0</v>
      </c>
      <c r="S11" s="7">
        <v>0</v>
      </c>
      <c r="T11" s="7">
        <v>0</v>
      </c>
      <c r="U11" s="7">
        <v>0</v>
      </c>
      <c r="V11" s="7">
        <v>0</v>
      </c>
      <c r="W11" s="7">
        <v>0</v>
      </c>
      <c r="X11" s="7">
        <v>0</v>
      </c>
      <c r="Y11" s="7">
        <v>0</v>
      </c>
      <c r="Z11" s="7">
        <v>0</v>
      </c>
      <c r="AA11" s="7">
        <v>0</v>
      </c>
      <c r="AB11" s="7">
        <v>0</v>
      </c>
      <c r="AC11" s="7">
        <v>0</v>
      </c>
      <c r="AD11" s="7">
        <v>0</v>
      </c>
      <c r="AE11" s="7">
        <v>202.45003619946678</v>
      </c>
      <c r="AF11" s="7">
        <v>0</v>
      </c>
      <c r="AG11" s="7">
        <v>0</v>
      </c>
      <c r="AH11" s="7">
        <v>0</v>
      </c>
      <c r="AI11" s="7">
        <v>0</v>
      </c>
      <c r="AJ11" s="7">
        <v>0</v>
      </c>
      <c r="AK11" s="7">
        <v>0</v>
      </c>
      <c r="AL11" s="7">
        <v>0</v>
      </c>
      <c r="AM11" s="7">
        <v>0</v>
      </c>
      <c r="AN11" s="7">
        <v>0</v>
      </c>
      <c r="AO11" s="7">
        <v>0</v>
      </c>
      <c r="AP11" s="7">
        <v>0</v>
      </c>
      <c r="AQ11" s="7">
        <v>0</v>
      </c>
      <c r="AR11" s="7">
        <v>0</v>
      </c>
      <c r="AS11" s="7">
        <v>0</v>
      </c>
      <c r="AT11" s="7">
        <v>0</v>
      </c>
      <c r="AU11" s="7">
        <v>0</v>
      </c>
      <c r="AV11" s="7">
        <v>0</v>
      </c>
      <c r="AW11" s="7">
        <v>0</v>
      </c>
      <c r="AX11" s="7">
        <v>0</v>
      </c>
    </row>
    <row r="12" spans="1:50" ht="14.55" customHeight="1" x14ac:dyDescent="0.45">
      <c r="F12" s="3">
        <v>11</v>
      </c>
      <c r="G12" s="7">
        <v>0</v>
      </c>
      <c r="H12" s="7">
        <v>0</v>
      </c>
      <c r="I12" s="7">
        <v>0</v>
      </c>
      <c r="J12" s="7">
        <v>0</v>
      </c>
      <c r="K12" s="7">
        <v>0</v>
      </c>
      <c r="L12" s="7">
        <v>0</v>
      </c>
      <c r="M12" s="7">
        <v>0</v>
      </c>
      <c r="N12" s="7">
        <v>0</v>
      </c>
      <c r="O12" s="7">
        <v>0</v>
      </c>
      <c r="P12" s="7">
        <v>5565.8268448476565</v>
      </c>
      <c r="Q12" s="7">
        <v>0</v>
      </c>
      <c r="R12" s="7">
        <v>6889.6945593830242</v>
      </c>
      <c r="S12" s="7">
        <v>0</v>
      </c>
      <c r="T12" s="7">
        <v>0</v>
      </c>
      <c r="U12" s="7">
        <v>0</v>
      </c>
      <c r="V12" s="7">
        <v>0</v>
      </c>
      <c r="W12" s="7">
        <v>0</v>
      </c>
      <c r="X12" s="7">
        <v>0</v>
      </c>
      <c r="Y12" s="7">
        <v>0</v>
      </c>
      <c r="Z12" s="7">
        <v>0</v>
      </c>
      <c r="AA12" s="7">
        <v>0</v>
      </c>
      <c r="AB12" s="7">
        <v>0</v>
      </c>
      <c r="AC12" s="7">
        <v>0</v>
      </c>
      <c r="AD12" s="7">
        <v>0</v>
      </c>
      <c r="AE12" s="7">
        <v>0</v>
      </c>
      <c r="AF12" s="7">
        <v>1285.3878043168581</v>
      </c>
      <c r="AG12" s="7">
        <v>0</v>
      </c>
      <c r="AH12" s="7">
        <v>0</v>
      </c>
      <c r="AI12" s="7">
        <v>0</v>
      </c>
      <c r="AJ12" s="7">
        <v>0</v>
      </c>
      <c r="AK12" s="7">
        <v>0</v>
      </c>
      <c r="AL12" s="7">
        <v>0</v>
      </c>
      <c r="AM12" s="7">
        <v>0</v>
      </c>
      <c r="AN12" s="7">
        <v>0</v>
      </c>
      <c r="AO12" s="7">
        <v>0</v>
      </c>
      <c r="AP12" s="7">
        <v>0</v>
      </c>
      <c r="AQ12" s="7">
        <v>0</v>
      </c>
      <c r="AR12" s="7">
        <v>0</v>
      </c>
      <c r="AS12" s="7">
        <v>0</v>
      </c>
      <c r="AT12" s="7">
        <v>0</v>
      </c>
      <c r="AU12" s="7">
        <v>0</v>
      </c>
      <c r="AV12" s="7">
        <v>0</v>
      </c>
      <c r="AW12" s="7">
        <v>0</v>
      </c>
      <c r="AX12" s="7">
        <v>0</v>
      </c>
    </row>
    <row r="13" spans="1:50" x14ac:dyDescent="0.45">
      <c r="F13" s="3">
        <v>12</v>
      </c>
      <c r="G13" s="7">
        <v>0</v>
      </c>
      <c r="H13" s="7">
        <v>0</v>
      </c>
      <c r="I13" s="7">
        <v>0</v>
      </c>
      <c r="J13" s="7">
        <v>0</v>
      </c>
      <c r="K13" s="7">
        <v>0</v>
      </c>
      <c r="L13" s="7">
        <v>0</v>
      </c>
      <c r="M13" s="7">
        <v>0</v>
      </c>
      <c r="N13" s="7">
        <v>0</v>
      </c>
      <c r="O13" s="7">
        <v>0</v>
      </c>
      <c r="P13" s="7">
        <v>0</v>
      </c>
      <c r="Q13" s="7">
        <v>6851.2146491645144</v>
      </c>
      <c r="R13" s="7">
        <v>0</v>
      </c>
      <c r="S13" s="7">
        <v>7704.217411088388</v>
      </c>
      <c r="T13" s="7">
        <v>0</v>
      </c>
      <c r="U13" s="7">
        <v>0</v>
      </c>
      <c r="V13" s="7">
        <v>0</v>
      </c>
      <c r="W13" s="7">
        <v>0</v>
      </c>
      <c r="X13" s="7">
        <v>0</v>
      </c>
      <c r="Y13" s="7">
        <v>0</v>
      </c>
      <c r="Z13" s="7">
        <v>0</v>
      </c>
      <c r="AA13" s="7">
        <v>0</v>
      </c>
      <c r="AB13" s="7">
        <v>0</v>
      </c>
      <c r="AC13" s="7">
        <v>0</v>
      </c>
      <c r="AD13" s="7">
        <v>0</v>
      </c>
      <c r="AE13" s="7">
        <v>0</v>
      </c>
      <c r="AF13" s="7">
        <v>0</v>
      </c>
      <c r="AG13" s="7">
        <v>5301.4065003989754</v>
      </c>
      <c r="AH13" s="7">
        <v>0</v>
      </c>
      <c r="AI13" s="7">
        <v>0</v>
      </c>
      <c r="AJ13" s="7">
        <v>0</v>
      </c>
      <c r="AK13" s="7">
        <v>0</v>
      </c>
      <c r="AL13" s="7">
        <v>0</v>
      </c>
      <c r="AM13" s="7">
        <v>0</v>
      </c>
      <c r="AN13" s="7">
        <v>0</v>
      </c>
      <c r="AO13" s="7">
        <v>0</v>
      </c>
      <c r="AP13" s="7">
        <v>0</v>
      </c>
      <c r="AQ13" s="7">
        <v>0</v>
      </c>
      <c r="AR13" s="7">
        <v>0</v>
      </c>
      <c r="AS13" s="7">
        <v>0</v>
      </c>
      <c r="AT13" s="7">
        <v>0</v>
      </c>
      <c r="AU13" s="7">
        <v>0</v>
      </c>
      <c r="AV13" s="7">
        <v>0</v>
      </c>
      <c r="AW13" s="7">
        <v>0</v>
      </c>
      <c r="AX13" s="7">
        <v>0</v>
      </c>
    </row>
    <row r="14" spans="1:50" x14ac:dyDescent="0.45">
      <c r="F14" s="3">
        <v>13</v>
      </c>
      <c r="G14" s="7">
        <v>0</v>
      </c>
      <c r="H14" s="7">
        <v>0</v>
      </c>
      <c r="I14" s="7">
        <v>0</v>
      </c>
      <c r="J14" s="7">
        <v>0</v>
      </c>
      <c r="K14" s="7">
        <v>0</v>
      </c>
      <c r="L14" s="7">
        <v>0</v>
      </c>
      <c r="M14" s="7">
        <v>0</v>
      </c>
      <c r="N14" s="7">
        <v>0</v>
      </c>
      <c r="O14" s="7">
        <v>0</v>
      </c>
      <c r="P14" s="7">
        <v>0</v>
      </c>
      <c r="Q14" s="7">
        <v>0</v>
      </c>
      <c r="R14" s="7">
        <v>7554.4008797510605</v>
      </c>
      <c r="S14" s="7">
        <v>0</v>
      </c>
      <c r="T14" s="7">
        <v>7566.2240764434009</v>
      </c>
      <c r="U14" s="7">
        <v>0</v>
      </c>
      <c r="V14" s="7">
        <v>0</v>
      </c>
      <c r="W14" s="7">
        <v>0</v>
      </c>
      <c r="X14" s="7">
        <v>0</v>
      </c>
      <c r="Y14" s="7">
        <v>0</v>
      </c>
      <c r="Z14" s="7">
        <v>0</v>
      </c>
      <c r="AA14" s="7">
        <v>0</v>
      </c>
      <c r="AB14" s="7">
        <v>0</v>
      </c>
      <c r="AC14" s="7">
        <v>0</v>
      </c>
      <c r="AD14" s="7">
        <v>0</v>
      </c>
      <c r="AE14" s="7">
        <v>0</v>
      </c>
      <c r="AF14" s="7">
        <v>0</v>
      </c>
      <c r="AG14" s="7">
        <v>0</v>
      </c>
      <c r="AH14" s="7">
        <v>0</v>
      </c>
      <c r="AI14" s="7">
        <v>3848.2909089013942</v>
      </c>
      <c r="AJ14" s="7">
        <v>0</v>
      </c>
      <c r="AK14" s="7">
        <v>0</v>
      </c>
      <c r="AL14" s="7">
        <v>0</v>
      </c>
      <c r="AM14" s="7">
        <v>0</v>
      </c>
      <c r="AN14" s="7">
        <v>0</v>
      </c>
      <c r="AO14" s="7">
        <v>0</v>
      </c>
      <c r="AP14" s="7">
        <v>0</v>
      </c>
      <c r="AQ14" s="7">
        <v>0</v>
      </c>
      <c r="AR14" s="7">
        <v>0</v>
      </c>
      <c r="AS14" s="7">
        <v>0</v>
      </c>
      <c r="AT14" s="7">
        <v>0</v>
      </c>
      <c r="AU14" s="7">
        <v>0</v>
      </c>
      <c r="AV14" s="7">
        <v>0</v>
      </c>
      <c r="AW14" s="7">
        <v>0</v>
      </c>
      <c r="AX14" s="7">
        <v>0</v>
      </c>
    </row>
    <row r="15" spans="1:50" x14ac:dyDescent="0.45">
      <c r="F15" s="3">
        <v>14</v>
      </c>
      <c r="G15" s="7">
        <v>0</v>
      </c>
      <c r="H15" s="7">
        <v>0</v>
      </c>
      <c r="I15" s="7">
        <v>0</v>
      </c>
      <c r="J15" s="7">
        <v>0</v>
      </c>
      <c r="K15" s="7">
        <v>0</v>
      </c>
      <c r="L15" s="7">
        <v>0</v>
      </c>
      <c r="M15" s="7">
        <v>0</v>
      </c>
      <c r="N15" s="7">
        <v>0</v>
      </c>
      <c r="O15" s="7">
        <v>0</v>
      </c>
      <c r="P15" s="7">
        <v>0</v>
      </c>
      <c r="Q15" s="7">
        <v>0</v>
      </c>
      <c r="R15" s="7">
        <v>0</v>
      </c>
      <c r="S15" s="7">
        <v>7415.90732164975</v>
      </c>
      <c r="T15" s="7">
        <v>0</v>
      </c>
      <c r="U15" s="7">
        <v>3890.8415577602814</v>
      </c>
      <c r="V15" s="7">
        <v>0</v>
      </c>
      <c r="W15" s="7">
        <v>0</v>
      </c>
      <c r="X15" s="7">
        <v>0</v>
      </c>
      <c r="Y15" s="7">
        <v>0</v>
      </c>
      <c r="Z15" s="7">
        <v>0</v>
      </c>
      <c r="AA15" s="7">
        <v>0</v>
      </c>
      <c r="AB15" s="7">
        <v>0</v>
      </c>
      <c r="AC15" s="7">
        <v>0</v>
      </c>
      <c r="AD15" s="7">
        <v>0</v>
      </c>
      <c r="AE15" s="7">
        <v>0</v>
      </c>
      <c r="AF15" s="7">
        <v>0</v>
      </c>
      <c r="AG15" s="7">
        <v>0</v>
      </c>
      <c r="AH15" s="7">
        <v>0</v>
      </c>
      <c r="AI15" s="7">
        <v>0</v>
      </c>
      <c r="AJ15" s="7">
        <v>3675.3825186831177</v>
      </c>
      <c r="AK15" s="7">
        <v>0</v>
      </c>
      <c r="AL15" s="7">
        <v>0</v>
      </c>
      <c r="AM15" s="7">
        <v>0</v>
      </c>
      <c r="AN15" s="7">
        <v>0</v>
      </c>
      <c r="AO15" s="7">
        <v>0</v>
      </c>
      <c r="AP15" s="7">
        <v>0</v>
      </c>
      <c r="AQ15" s="7">
        <v>0</v>
      </c>
      <c r="AR15" s="7">
        <v>0</v>
      </c>
      <c r="AS15" s="7">
        <v>0</v>
      </c>
      <c r="AT15" s="7">
        <v>0</v>
      </c>
      <c r="AU15" s="7">
        <v>0</v>
      </c>
      <c r="AV15" s="7">
        <v>0</v>
      </c>
      <c r="AW15" s="7">
        <v>0</v>
      </c>
      <c r="AX15" s="7">
        <v>0</v>
      </c>
    </row>
    <row r="16" spans="1:50" x14ac:dyDescent="0.45">
      <c r="F16" s="3">
        <v>15</v>
      </c>
      <c r="G16" s="7">
        <v>0</v>
      </c>
      <c r="H16" s="7">
        <v>0</v>
      </c>
      <c r="I16" s="7">
        <v>0</v>
      </c>
      <c r="J16" s="7">
        <v>0</v>
      </c>
      <c r="K16" s="7">
        <v>0</v>
      </c>
      <c r="L16" s="7">
        <v>0</v>
      </c>
      <c r="M16" s="7">
        <v>0</v>
      </c>
      <c r="N16" s="7">
        <v>0</v>
      </c>
      <c r="O16" s="7">
        <v>0</v>
      </c>
      <c r="P16" s="7">
        <v>0</v>
      </c>
      <c r="Q16" s="7">
        <v>0</v>
      </c>
      <c r="R16" s="7">
        <v>0</v>
      </c>
      <c r="S16" s="7">
        <v>0</v>
      </c>
      <c r="T16" s="7">
        <v>3748.1108333669981</v>
      </c>
      <c r="U16" s="7">
        <v>0</v>
      </c>
      <c r="V16" s="7">
        <v>5170.4434254895568</v>
      </c>
      <c r="W16" s="7">
        <v>0</v>
      </c>
      <c r="X16" s="7">
        <v>0</v>
      </c>
      <c r="Y16" s="7">
        <v>0</v>
      </c>
      <c r="Z16" s="7">
        <v>0</v>
      </c>
      <c r="AA16" s="7">
        <v>0</v>
      </c>
      <c r="AB16" s="7">
        <v>0</v>
      </c>
      <c r="AC16" s="7">
        <v>0</v>
      </c>
      <c r="AD16" s="7">
        <v>0</v>
      </c>
      <c r="AE16" s="7">
        <v>0</v>
      </c>
      <c r="AF16" s="7">
        <v>0</v>
      </c>
      <c r="AG16" s="7">
        <v>0</v>
      </c>
      <c r="AH16" s="7">
        <v>0</v>
      </c>
      <c r="AI16" s="7">
        <v>0</v>
      </c>
      <c r="AJ16" s="7">
        <v>1693.7685186641158</v>
      </c>
      <c r="AK16" s="7">
        <v>0</v>
      </c>
      <c r="AL16" s="7">
        <v>0</v>
      </c>
      <c r="AM16" s="7">
        <v>0</v>
      </c>
      <c r="AN16" s="7">
        <v>0</v>
      </c>
      <c r="AO16" s="7">
        <v>0</v>
      </c>
      <c r="AP16" s="7">
        <v>0</v>
      </c>
      <c r="AQ16" s="7">
        <v>0</v>
      </c>
      <c r="AR16" s="7">
        <v>0</v>
      </c>
      <c r="AS16" s="7">
        <v>0</v>
      </c>
      <c r="AT16" s="7">
        <v>0</v>
      </c>
      <c r="AU16" s="7">
        <v>0</v>
      </c>
      <c r="AV16" s="7">
        <v>0</v>
      </c>
      <c r="AW16" s="7">
        <v>0</v>
      </c>
      <c r="AX16" s="7">
        <v>0</v>
      </c>
    </row>
    <row r="17" spans="1:50" x14ac:dyDescent="0.45">
      <c r="A17" s="27" t="s">
        <v>317</v>
      </c>
      <c r="B17" s="27"/>
      <c r="C17" s="27"/>
      <c r="D17" s="27"/>
      <c r="F17" s="3">
        <v>16</v>
      </c>
      <c r="G17" s="7">
        <v>0</v>
      </c>
      <c r="H17" s="7">
        <v>0</v>
      </c>
      <c r="I17" s="7">
        <v>0</v>
      </c>
      <c r="J17" s="7">
        <v>0</v>
      </c>
      <c r="K17" s="7">
        <v>0</v>
      </c>
      <c r="L17" s="7">
        <v>0</v>
      </c>
      <c r="M17" s="7">
        <v>0</v>
      </c>
      <c r="N17" s="7">
        <v>0</v>
      </c>
      <c r="O17" s="7">
        <v>0</v>
      </c>
      <c r="P17" s="7">
        <v>0</v>
      </c>
      <c r="Q17" s="7">
        <v>0</v>
      </c>
      <c r="R17" s="7">
        <v>0</v>
      </c>
      <c r="S17" s="7">
        <v>0</v>
      </c>
      <c r="T17" s="7">
        <v>0</v>
      </c>
      <c r="U17" s="7">
        <v>5040.1304883463181</v>
      </c>
      <c r="V17" s="7">
        <v>0</v>
      </c>
      <c r="W17" s="7">
        <v>3965.4380236331945</v>
      </c>
      <c r="X17" s="7">
        <v>0</v>
      </c>
      <c r="Y17" s="7">
        <v>0</v>
      </c>
      <c r="Z17" s="7">
        <v>0</v>
      </c>
      <c r="AA17" s="7">
        <v>0</v>
      </c>
      <c r="AB17" s="7">
        <v>0</v>
      </c>
      <c r="AC17" s="7">
        <v>0</v>
      </c>
      <c r="AD17" s="7">
        <v>0</v>
      </c>
      <c r="AE17" s="7">
        <v>0</v>
      </c>
      <c r="AF17" s="7">
        <v>0</v>
      </c>
      <c r="AG17" s="7">
        <v>0</v>
      </c>
      <c r="AH17" s="7">
        <v>0</v>
      </c>
      <c r="AI17" s="7">
        <v>0</v>
      </c>
      <c r="AJ17" s="7">
        <v>0</v>
      </c>
      <c r="AK17" s="7">
        <v>1205.0054018563599</v>
      </c>
      <c r="AL17" s="7">
        <v>0</v>
      </c>
      <c r="AM17" s="7">
        <v>0</v>
      </c>
      <c r="AN17" s="7">
        <v>0</v>
      </c>
      <c r="AO17" s="7">
        <v>0</v>
      </c>
      <c r="AP17" s="7">
        <v>0</v>
      </c>
      <c r="AQ17" s="7">
        <v>0</v>
      </c>
      <c r="AR17" s="7">
        <v>0</v>
      </c>
      <c r="AS17" s="7">
        <v>0</v>
      </c>
      <c r="AT17" s="7">
        <v>0</v>
      </c>
      <c r="AU17" s="7">
        <v>0</v>
      </c>
      <c r="AV17" s="7">
        <v>0</v>
      </c>
      <c r="AW17" s="7">
        <v>0</v>
      </c>
      <c r="AX17" s="7">
        <v>0</v>
      </c>
    </row>
    <row r="18" spans="1:50" x14ac:dyDescent="0.45">
      <c r="A18" s="27"/>
      <c r="B18" s="27"/>
      <c r="C18" s="27"/>
      <c r="D18" s="27"/>
      <c r="F18" s="3">
        <v>17</v>
      </c>
      <c r="G18" s="7">
        <v>0</v>
      </c>
      <c r="H18" s="7">
        <v>0</v>
      </c>
      <c r="I18" s="7">
        <v>0</v>
      </c>
      <c r="J18" s="7">
        <v>0</v>
      </c>
      <c r="K18" s="7">
        <v>0</v>
      </c>
      <c r="L18" s="7">
        <v>0</v>
      </c>
      <c r="M18" s="7">
        <v>0</v>
      </c>
      <c r="N18" s="7">
        <v>0</v>
      </c>
      <c r="O18" s="7">
        <v>0</v>
      </c>
      <c r="P18" s="7">
        <v>0</v>
      </c>
      <c r="Q18" s="7">
        <v>0</v>
      </c>
      <c r="R18" s="7">
        <v>0</v>
      </c>
      <c r="S18" s="7">
        <v>0</v>
      </c>
      <c r="T18" s="7">
        <v>0</v>
      </c>
      <c r="U18" s="7">
        <v>0</v>
      </c>
      <c r="V18" s="7">
        <v>3981.2256229763921</v>
      </c>
      <c r="W18" s="7">
        <v>0</v>
      </c>
      <c r="X18" s="7">
        <v>5796.1883575469546</v>
      </c>
      <c r="Y18" s="7">
        <v>0</v>
      </c>
      <c r="Z18" s="7">
        <v>0</v>
      </c>
      <c r="AA18" s="7">
        <v>0</v>
      </c>
      <c r="AB18" s="7">
        <v>0</v>
      </c>
      <c r="AC18" s="7">
        <v>0</v>
      </c>
      <c r="AD18" s="7">
        <v>0</v>
      </c>
      <c r="AE18" s="7">
        <v>0</v>
      </c>
      <c r="AF18" s="7">
        <v>0</v>
      </c>
      <c r="AG18" s="7">
        <v>0</v>
      </c>
      <c r="AH18" s="7">
        <v>0</v>
      </c>
      <c r="AI18" s="7">
        <v>0</v>
      </c>
      <c r="AJ18" s="7">
        <v>0</v>
      </c>
      <c r="AK18" s="7">
        <v>0</v>
      </c>
      <c r="AL18" s="7">
        <v>3646.8724982881972</v>
      </c>
      <c r="AM18" s="7">
        <v>0</v>
      </c>
      <c r="AN18" s="7">
        <v>0</v>
      </c>
      <c r="AO18" s="7">
        <v>0</v>
      </c>
      <c r="AP18" s="7">
        <v>0</v>
      </c>
      <c r="AQ18" s="7">
        <v>0</v>
      </c>
      <c r="AR18" s="7">
        <v>0</v>
      </c>
      <c r="AS18" s="7">
        <v>0</v>
      </c>
      <c r="AT18" s="7">
        <v>0</v>
      </c>
      <c r="AU18" s="7">
        <v>0</v>
      </c>
      <c r="AV18" s="7">
        <v>0</v>
      </c>
      <c r="AW18" s="7">
        <v>0</v>
      </c>
      <c r="AX18" s="7">
        <v>0</v>
      </c>
    </row>
    <row r="19" spans="1:50" x14ac:dyDescent="0.45">
      <c r="A19" s="27"/>
      <c r="B19" s="27"/>
      <c r="C19" s="27"/>
      <c r="D19" s="27"/>
      <c r="F19" s="3">
        <v>18</v>
      </c>
      <c r="G19" s="7">
        <v>0</v>
      </c>
      <c r="H19" s="7">
        <v>0</v>
      </c>
      <c r="I19" s="7">
        <v>0</v>
      </c>
      <c r="J19" s="7">
        <v>0</v>
      </c>
      <c r="K19" s="7">
        <v>0</v>
      </c>
      <c r="L19" s="7">
        <v>0</v>
      </c>
      <c r="M19" s="7">
        <v>0</v>
      </c>
      <c r="N19" s="7">
        <v>0</v>
      </c>
      <c r="O19" s="7">
        <v>0</v>
      </c>
      <c r="P19" s="7">
        <v>0</v>
      </c>
      <c r="Q19" s="7">
        <v>0</v>
      </c>
      <c r="R19" s="7">
        <v>0</v>
      </c>
      <c r="S19" s="7">
        <v>0</v>
      </c>
      <c r="T19" s="7">
        <v>0</v>
      </c>
      <c r="U19" s="7">
        <v>0</v>
      </c>
      <c r="V19" s="7">
        <v>0</v>
      </c>
      <c r="W19" s="7">
        <v>5847.0946368433133</v>
      </c>
      <c r="X19" s="7">
        <v>0</v>
      </c>
      <c r="Y19" s="7">
        <v>3897.950175837419</v>
      </c>
      <c r="Z19" s="7">
        <v>0</v>
      </c>
      <c r="AA19" s="7">
        <v>0</v>
      </c>
      <c r="AB19" s="7">
        <v>0</v>
      </c>
      <c r="AC19" s="7">
        <v>0</v>
      </c>
      <c r="AD19" s="7">
        <v>0</v>
      </c>
      <c r="AE19" s="7">
        <v>0</v>
      </c>
      <c r="AF19" s="7">
        <v>0</v>
      </c>
      <c r="AG19" s="7">
        <v>0</v>
      </c>
      <c r="AH19" s="7">
        <v>0</v>
      </c>
      <c r="AI19" s="7">
        <v>0</v>
      </c>
      <c r="AJ19" s="7">
        <v>0</v>
      </c>
      <c r="AK19" s="7">
        <v>0</v>
      </c>
      <c r="AL19" s="7">
        <v>0</v>
      </c>
      <c r="AM19" s="7">
        <v>5720.7163275040239</v>
      </c>
      <c r="AN19" s="7">
        <v>0</v>
      </c>
      <c r="AO19" s="7">
        <v>0</v>
      </c>
      <c r="AP19" s="7">
        <v>0</v>
      </c>
      <c r="AQ19" s="7">
        <v>0</v>
      </c>
      <c r="AR19" s="7">
        <v>0</v>
      </c>
      <c r="AS19" s="7">
        <v>0</v>
      </c>
      <c r="AT19" s="7">
        <v>0</v>
      </c>
      <c r="AU19" s="7">
        <v>0</v>
      </c>
      <c r="AV19" s="7">
        <v>0</v>
      </c>
      <c r="AW19" s="7">
        <v>0</v>
      </c>
      <c r="AX19" s="7">
        <v>0</v>
      </c>
    </row>
    <row r="20" spans="1:50" x14ac:dyDescent="0.45">
      <c r="A20" s="27"/>
      <c r="B20" s="27"/>
      <c r="C20" s="27"/>
      <c r="D20" s="27"/>
      <c r="F20" s="3">
        <v>19</v>
      </c>
      <c r="G20" s="7">
        <v>0</v>
      </c>
      <c r="H20" s="7">
        <v>0</v>
      </c>
      <c r="I20" s="7">
        <v>0</v>
      </c>
      <c r="J20" s="7">
        <v>0</v>
      </c>
      <c r="K20" s="7">
        <v>0</v>
      </c>
      <c r="L20" s="7">
        <v>0</v>
      </c>
      <c r="M20" s="7">
        <v>0</v>
      </c>
      <c r="N20" s="7">
        <v>0</v>
      </c>
      <c r="O20" s="7">
        <v>0</v>
      </c>
      <c r="P20" s="7">
        <v>0</v>
      </c>
      <c r="Q20" s="7">
        <v>0</v>
      </c>
      <c r="R20" s="7">
        <v>0</v>
      </c>
      <c r="S20" s="7">
        <v>0</v>
      </c>
      <c r="T20" s="7">
        <v>0</v>
      </c>
      <c r="U20" s="7">
        <v>0</v>
      </c>
      <c r="V20" s="7">
        <v>0</v>
      </c>
      <c r="W20" s="7">
        <v>0</v>
      </c>
      <c r="X20" s="7">
        <v>3777.4429351044332</v>
      </c>
      <c r="Y20" s="7">
        <v>0</v>
      </c>
      <c r="Z20" s="7">
        <v>4006.1652522404679</v>
      </c>
      <c r="AA20" s="7">
        <v>0</v>
      </c>
      <c r="AB20" s="7">
        <v>0</v>
      </c>
      <c r="AC20" s="7">
        <v>0</v>
      </c>
      <c r="AD20" s="7">
        <v>0</v>
      </c>
      <c r="AE20" s="7">
        <v>0</v>
      </c>
      <c r="AF20" s="7">
        <v>0</v>
      </c>
      <c r="AG20" s="7">
        <v>0</v>
      </c>
      <c r="AH20" s="7">
        <v>0</v>
      </c>
      <c r="AI20" s="7">
        <v>0</v>
      </c>
      <c r="AJ20" s="7">
        <v>0</v>
      </c>
      <c r="AK20" s="7">
        <v>0</v>
      </c>
      <c r="AL20" s="7">
        <v>0</v>
      </c>
      <c r="AM20" s="7">
        <v>0</v>
      </c>
      <c r="AN20" s="7">
        <v>898.25845136498333</v>
      </c>
      <c r="AO20" s="7">
        <v>0</v>
      </c>
      <c r="AP20" s="7">
        <v>0</v>
      </c>
      <c r="AQ20" s="7">
        <v>0</v>
      </c>
      <c r="AR20" s="7">
        <v>0</v>
      </c>
      <c r="AS20" s="7">
        <v>0</v>
      </c>
      <c r="AT20" s="7">
        <v>0</v>
      </c>
      <c r="AU20" s="7">
        <v>0</v>
      </c>
      <c r="AV20" s="7">
        <v>0</v>
      </c>
      <c r="AW20" s="7">
        <v>0</v>
      </c>
      <c r="AX20" s="7">
        <v>0</v>
      </c>
    </row>
    <row r="21" spans="1:50" x14ac:dyDescent="0.45">
      <c r="F21" s="3">
        <v>20</v>
      </c>
      <c r="G21" s="7">
        <v>0</v>
      </c>
      <c r="H21" s="7">
        <v>0</v>
      </c>
      <c r="I21" s="7">
        <v>0</v>
      </c>
      <c r="J21" s="7">
        <v>0</v>
      </c>
      <c r="K21" s="7">
        <v>0</v>
      </c>
      <c r="L21" s="7">
        <v>0</v>
      </c>
      <c r="M21" s="7">
        <v>0</v>
      </c>
      <c r="N21" s="7">
        <v>0</v>
      </c>
      <c r="O21" s="7">
        <v>0</v>
      </c>
      <c r="P21" s="7">
        <v>0</v>
      </c>
      <c r="Q21" s="7">
        <v>0</v>
      </c>
      <c r="R21" s="7">
        <v>0</v>
      </c>
      <c r="S21" s="7">
        <v>0</v>
      </c>
      <c r="T21" s="7">
        <v>0</v>
      </c>
      <c r="U21" s="7">
        <v>0</v>
      </c>
      <c r="V21" s="7">
        <v>0</v>
      </c>
      <c r="W21" s="7">
        <v>0</v>
      </c>
      <c r="X21" s="7">
        <v>0</v>
      </c>
      <c r="Y21" s="7">
        <v>4050.2508800093779</v>
      </c>
      <c r="Z21" s="7">
        <v>0</v>
      </c>
      <c r="AA21" s="7">
        <v>4006.1652522404679</v>
      </c>
      <c r="AB21" s="7">
        <v>0</v>
      </c>
      <c r="AC21" s="7">
        <v>0</v>
      </c>
      <c r="AD21" s="7">
        <v>0</v>
      </c>
      <c r="AE21" s="7">
        <v>0</v>
      </c>
      <c r="AF21" s="7">
        <v>0</v>
      </c>
      <c r="AG21" s="7">
        <v>0</v>
      </c>
      <c r="AH21" s="7">
        <v>0</v>
      </c>
      <c r="AI21" s="7">
        <v>0</v>
      </c>
      <c r="AJ21" s="7">
        <v>0</v>
      </c>
      <c r="AK21" s="7">
        <v>0</v>
      </c>
      <c r="AL21" s="7">
        <v>0</v>
      </c>
      <c r="AM21" s="7">
        <v>0</v>
      </c>
      <c r="AN21" s="7">
        <v>0</v>
      </c>
      <c r="AO21" s="7">
        <v>0</v>
      </c>
      <c r="AP21" s="7">
        <v>0</v>
      </c>
      <c r="AQ21" s="7">
        <v>0</v>
      </c>
      <c r="AR21" s="7">
        <v>0</v>
      </c>
      <c r="AS21" s="7">
        <v>0</v>
      </c>
      <c r="AT21" s="7">
        <v>0</v>
      </c>
      <c r="AU21" s="7">
        <v>0</v>
      </c>
      <c r="AV21" s="7">
        <v>0</v>
      </c>
      <c r="AW21" s="7">
        <v>0</v>
      </c>
      <c r="AX21" s="7">
        <v>0</v>
      </c>
    </row>
    <row r="22" spans="1:50" x14ac:dyDescent="0.45">
      <c r="A22" s="27" t="s">
        <v>396</v>
      </c>
      <c r="B22" s="27"/>
      <c r="C22" s="27"/>
      <c r="D22" s="27"/>
      <c r="F22" s="3">
        <v>21</v>
      </c>
      <c r="G22" s="7">
        <v>0</v>
      </c>
      <c r="H22" s="7">
        <v>0</v>
      </c>
      <c r="I22" s="7">
        <v>0</v>
      </c>
      <c r="J22" s="7">
        <v>0</v>
      </c>
      <c r="K22" s="7">
        <v>0</v>
      </c>
      <c r="L22" s="7">
        <v>0</v>
      </c>
      <c r="M22" s="7">
        <v>0</v>
      </c>
      <c r="N22" s="7">
        <v>0</v>
      </c>
      <c r="O22" s="7">
        <v>0</v>
      </c>
      <c r="P22" s="7">
        <v>0</v>
      </c>
      <c r="Q22" s="7">
        <v>0</v>
      </c>
      <c r="R22" s="7">
        <v>0</v>
      </c>
      <c r="S22" s="7">
        <v>0</v>
      </c>
      <c r="T22" s="7">
        <v>0</v>
      </c>
      <c r="U22" s="7">
        <v>0</v>
      </c>
      <c r="V22" s="7">
        <v>0</v>
      </c>
      <c r="W22" s="7">
        <v>0</v>
      </c>
      <c r="X22" s="7">
        <v>0</v>
      </c>
      <c r="Y22" s="7">
        <v>0</v>
      </c>
      <c r="Z22" s="7">
        <v>4050.2508800093779</v>
      </c>
      <c r="AA22" s="7">
        <v>0</v>
      </c>
      <c r="AB22" s="7">
        <v>3279.7871708733501</v>
      </c>
      <c r="AC22" s="7">
        <v>0</v>
      </c>
      <c r="AD22" s="7">
        <v>0</v>
      </c>
      <c r="AE22" s="7">
        <v>0</v>
      </c>
      <c r="AF22" s="7">
        <v>0</v>
      </c>
      <c r="AG22" s="7">
        <v>0</v>
      </c>
      <c r="AH22" s="7">
        <v>0</v>
      </c>
      <c r="AI22" s="7">
        <v>0</v>
      </c>
      <c r="AJ22" s="7">
        <v>0</v>
      </c>
      <c r="AK22" s="7">
        <v>0</v>
      </c>
      <c r="AL22" s="7">
        <v>0</v>
      </c>
      <c r="AM22" s="7">
        <v>0</v>
      </c>
      <c r="AN22" s="7">
        <v>0</v>
      </c>
      <c r="AO22" s="7">
        <v>0</v>
      </c>
      <c r="AP22" s="7">
        <v>4915.534995267426</v>
      </c>
      <c r="AQ22" s="7">
        <v>0</v>
      </c>
      <c r="AR22" s="7">
        <v>0</v>
      </c>
      <c r="AS22" s="7">
        <v>0</v>
      </c>
      <c r="AT22" s="7">
        <v>0</v>
      </c>
      <c r="AU22" s="7">
        <v>0</v>
      </c>
      <c r="AV22" s="7">
        <v>0</v>
      </c>
      <c r="AW22" s="7">
        <v>0</v>
      </c>
      <c r="AX22" s="7">
        <v>0</v>
      </c>
    </row>
    <row r="23" spans="1:50" x14ac:dyDescent="0.45">
      <c r="A23" s="27"/>
      <c r="B23" s="27"/>
      <c r="C23" s="27"/>
      <c r="D23" s="27"/>
      <c r="F23" s="3">
        <v>22</v>
      </c>
      <c r="G23" s="7">
        <v>0</v>
      </c>
      <c r="H23" s="7">
        <v>0</v>
      </c>
      <c r="I23" s="7">
        <v>0</v>
      </c>
      <c r="J23" s="7">
        <v>0</v>
      </c>
      <c r="K23" s="7">
        <v>0</v>
      </c>
      <c r="L23" s="7">
        <v>0</v>
      </c>
      <c r="M23" s="7">
        <v>0</v>
      </c>
      <c r="N23" s="7">
        <v>0</v>
      </c>
      <c r="O23" s="7">
        <v>0</v>
      </c>
      <c r="P23" s="7">
        <v>0</v>
      </c>
      <c r="Q23" s="7">
        <v>0</v>
      </c>
      <c r="R23" s="7">
        <v>0</v>
      </c>
      <c r="S23" s="7">
        <v>0</v>
      </c>
      <c r="T23" s="7">
        <v>0</v>
      </c>
      <c r="U23" s="7">
        <v>0</v>
      </c>
      <c r="V23" s="7">
        <v>0</v>
      </c>
      <c r="W23" s="7">
        <v>0</v>
      </c>
      <c r="X23" s="7">
        <v>0</v>
      </c>
      <c r="Y23" s="7">
        <v>0</v>
      </c>
      <c r="Z23" s="7">
        <v>0</v>
      </c>
      <c r="AA23" s="7">
        <v>3260.9900445809189</v>
      </c>
      <c r="AB23" s="7">
        <v>0</v>
      </c>
      <c r="AC23" s="7">
        <v>3279.7871708733501</v>
      </c>
      <c r="AD23" s="7">
        <v>0</v>
      </c>
      <c r="AE23" s="7">
        <v>0</v>
      </c>
      <c r="AF23" s="7">
        <v>0</v>
      </c>
      <c r="AG23" s="7">
        <v>0</v>
      </c>
      <c r="AH23" s="7">
        <v>0</v>
      </c>
      <c r="AI23" s="7">
        <v>0</v>
      </c>
      <c r="AJ23" s="7">
        <v>0</v>
      </c>
      <c r="AK23" s="7">
        <v>0</v>
      </c>
      <c r="AL23" s="7">
        <v>0</v>
      </c>
      <c r="AM23" s="7">
        <v>0</v>
      </c>
      <c r="AN23" s="7">
        <v>0</v>
      </c>
      <c r="AO23" s="7">
        <v>0</v>
      </c>
      <c r="AP23" s="7">
        <v>0</v>
      </c>
      <c r="AQ23" s="7">
        <v>0</v>
      </c>
      <c r="AR23" s="7">
        <v>0</v>
      </c>
      <c r="AS23" s="7">
        <v>0</v>
      </c>
      <c r="AT23" s="7">
        <v>0</v>
      </c>
      <c r="AU23" s="7">
        <v>0</v>
      </c>
      <c r="AV23" s="7">
        <v>0</v>
      </c>
      <c r="AW23" s="7">
        <v>0</v>
      </c>
      <c r="AX23" s="7">
        <v>0</v>
      </c>
    </row>
    <row r="24" spans="1:50" x14ac:dyDescent="0.45">
      <c r="A24" s="27"/>
      <c r="B24" s="27"/>
      <c r="C24" s="27"/>
      <c r="D24" s="27"/>
      <c r="F24" s="3">
        <v>23</v>
      </c>
      <c r="G24" s="7">
        <v>0</v>
      </c>
      <c r="H24" s="7">
        <v>0</v>
      </c>
      <c r="I24" s="7">
        <v>0</v>
      </c>
      <c r="J24" s="7">
        <v>0</v>
      </c>
      <c r="K24" s="7">
        <v>0</v>
      </c>
      <c r="L24" s="7">
        <v>0</v>
      </c>
      <c r="M24" s="7">
        <v>0</v>
      </c>
      <c r="N24" s="7">
        <v>0</v>
      </c>
      <c r="O24" s="7">
        <v>0</v>
      </c>
      <c r="P24" s="7">
        <v>0</v>
      </c>
      <c r="Q24" s="7">
        <v>0</v>
      </c>
      <c r="R24" s="7">
        <v>0</v>
      </c>
      <c r="S24" s="7">
        <v>0</v>
      </c>
      <c r="T24" s="7">
        <v>0</v>
      </c>
      <c r="U24" s="7">
        <v>0</v>
      </c>
      <c r="V24" s="7">
        <v>0</v>
      </c>
      <c r="W24" s="7">
        <v>0</v>
      </c>
      <c r="X24" s="7">
        <v>0</v>
      </c>
      <c r="Y24" s="7">
        <v>0</v>
      </c>
      <c r="Z24" s="7">
        <v>0</v>
      </c>
      <c r="AA24" s="7">
        <v>0</v>
      </c>
      <c r="AB24" s="7">
        <v>3260.9900445809189</v>
      </c>
      <c r="AC24" s="7">
        <v>0</v>
      </c>
      <c r="AD24" s="7">
        <v>5284.5521894537933</v>
      </c>
      <c r="AE24" s="7">
        <v>0</v>
      </c>
      <c r="AF24" s="7">
        <v>0</v>
      </c>
      <c r="AG24" s="7">
        <v>0</v>
      </c>
      <c r="AH24" s="7">
        <v>0</v>
      </c>
      <c r="AI24" s="7">
        <v>0</v>
      </c>
      <c r="AJ24" s="7">
        <v>0</v>
      </c>
      <c r="AK24" s="7">
        <v>0</v>
      </c>
      <c r="AL24" s="7">
        <v>0</v>
      </c>
      <c r="AM24" s="7">
        <v>0</v>
      </c>
      <c r="AN24" s="7">
        <v>0</v>
      </c>
      <c r="AO24" s="7">
        <v>0</v>
      </c>
      <c r="AP24" s="7">
        <v>0</v>
      </c>
      <c r="AQ24" s="7">
        <v>0</v>
      </c>
      <c r="AR24" s="7">
        <v>2474.9479513927804</v>
      </c>
      <c r="AS24" s="7">
        <v>0</v>
      </c>
      <c r="AT24" s="7">
        <v>0</v>
      </c>
      <c r="AU24" s="7">
        <v>0</v>
      </c>
      <c r="AV24" s="7">
        <v>0</v>
      </c>
      <c r="AW24" s="7">
        <v>0</v>
      </c>
      <c r="AX24" s="7">
        <v>0</v>
      </c>
    </row>
    <row r="25" spans="1:50" x14ac:dyDescent="0.45">
      <c r="A25" s="27"/>
      <c r="B25" s="27"/>
      <c r="C25" s="27"/>
      <c r="D25" s="27"/>
      <c r="F25" s="3">
        <v>24</v>
      </c>
      <c r="G25" s="7">
        <v>0</v>
      </c>
      <c r="H25" s="7">
        <v>0</v>
      </c>
      <c r="I25" s="7">
        <v>0</v>
      </c>
      <c r="J25" s="7">
        <v>0</v>
      </c>
      <c r="K25" s="7">
        <v>0</v>
      </c>
      <c r="L25" s="7">
        <v>0</v>
      </c>
      <c r="M25" s="7">
        <v>0</v>
      </c>
      <c r="N25" s="7">
        <v>0</v>
      </c>
      <c r="O25" s="7">
        <v>7124.8969451188332</v>
      </c>
      <c r="P25" s="7">
        <v>0</v>
      </c>
      <c r="Q25" s="7">
        <v>0</v>
      </c>
      <c r="R25" s="7">
        <v>0</v>
      </c>
      <c r="S25" s="7">
        <v>0</v>
      </c>
      <c r="T25" s="7">
        <v>0</v>
      </c>
      <c r="U25" s="7">
        <v>0</v>
      </c>
      <c r="V25" s="7">
        <v>0</v>
      </c>
      <c r="W25" s="7">
        <v>0</v>
      </c>
      <c r="X25" s="7">
        <v>0</v>
      </c>
      <c r="Y25" s="7">
        <v>0</v>
      </c>
      <c r="Z25" s="7">
        <v>0</v>
      </c>
      <c r="AA25" s="7">
        <v>0</v>
      </c>
      <c r="AB25" s="7">
        <v>0</v>
      </c>
      <c r="AC25" s="7">
        <v>5490.488179261396</v>
      </c>
      <c r="AD25" s="7">
        <v>0</v>
      </c>
      <c r="AE25" s="7">
        <v>3445.9161062586904</v>
      </c>
      <c r="AF25" s="7">
        <v>0</v>
      </c>
      <c r="AG25" s="7">
        <v>0</v>
      </c>
      <c r="AH25" s="7">
        <v>0</v>
      </c>
      <c r="AI25" s="7">
        <v>0</v>
      </c>
      <c r="AJ25" s="7">
        <v>0</v>
      </c>
      <c r="AK25" s="7">
        <v>0</v>
      </c>
      <c r="AL25" s="7">
        <v>0</v>
      </c>
      <c r="AM25" s="7">
        <v>0</v>
      </c>
      <c r="AN25" s="7">
        <v>0</v>
      </c>
      <c r="AO25" s="7">
        <v>0</v>
      </c>
      <c r="AP25" s="7">
        <v>0</v>
      </c>
      <c r="AQ25" s="7">
        <v>0</v>
      </c>
      <c r="AR25" s="7">
        <v>0</v>
      </c>
      <c r="AS25" s="7">
        <v>0</v>
      </c>
      <c r="AT25" s="7">
        <v>0</v>
      </c>
      <c r="AU25" s="7">
        <v>0</v>
      </c>
      <c r="AV25" s="7">
        <v>0</v>
      </c>
      <c r="AW25" s="7">
        <v>0</v>
      </c>
      <c r="AX25" s="7">
        <v>0</v>
      </c>
    </row>
    <row r="26" spans="1:50" x14ac:dyDescent="0.45">
      <c r="A26" s="27"/>
      <c r="B26" s="27"/>
      <c r="C26" s="27"/>
      <c r="D26" s="27"/>
      <c r="F26" s="3">
        <v>25</v>
      </c>
      <c r="G26" s="7">
        <v>0</v>
      </c>
      <c r="H26" s="7">
        <v>0</v>
      </c>
      <c r="I26" s="7">
        <v>0</v>
      </c>
      <c r="J26" s="7">
        <v>0</v>
      </c>
      <c r="K26" s="7">
        <v>0</v>
      </c>
      <c r="L26" s="7">
        <v>0</v>
      </c>
      <c r="M26" s="7">
        <v>0</v>
      </c>
      <c r="N26" s="7">
        <v>0</v>
      </c>
      <c r="O26" s="7">
        <v>0</v>
      </c>
      <c r="P26" s="7">
        <v>403.27384358901338</v>
      </c>
      <c r="Q26" s="7">
        <v>0</v>
      </c>
      <c r="R26" s="7">
        <v>0</v>
      </c>
      <c r="S26" s="7">
        <v>0</v>
      </c>
      <c r="T26" s="7">
        <v>0</v>
      </c>
      <c r="U26" s="7">
        <v>0</v>
      </c>
      <c r="V26" s="7">
        <v>0</v>
      </c>
      <c r="W26" s="7">
        <v>0</v>
      </c>
      <c r="X26" s="7">
        <v>0</v>
      </c>
      <c r="Y26" s="7">
        <v>0</v>
      </c>
      <c r="Z26" s="7">
        <v>0</v>
      </c>
      <c r="AA26" s="7">
        <v>0</v>
      </c>
      <c r="AB26" s="7">
        <v>0</v>
      </c>
      <c r="AC26" s="7">
        <v>0</v>
      </c>
      <c r="AD26" s="7">
        <v>3414.0724576369303</v>
      </c>
      <c r="AE26" s="7">
        <v>0</v>
      </c>
      <c r="AF26" s="7">
        <v>3648.3661424581574</v>
      </c>
      <c r="AG26" s="7">
        <v>0</v>
      </c>
      <c r="AH26" s="7">
        <v>0</v>
      </c>
      <c r="AI26" s="7">
        <v>0</v>
      </c>
      <c r="AJ26" s="7">
        <v>0</v>
      </c>
      <c r="AK26" s="7">
        <v>0</v>
      </c>
      <c r="AL26" s="7">
        <v>0</v>
      </c>
      <c r="AM26" s="7">
        <v>0</v>
      </c>
      <c r="AN26" s="7">
        <v>0</v>
      </c>
      <c r="AO26" s="7">
        <v>0</v>
      </c>
      <c r="AP26" s="7">
        <v>0</v>
      </c>
      <c r="AQ26" s="7">
        <v>0</v>
      </c>
      <c r="AR26" s="7">
        <v>0</v>
      </c>
      <c r="AS26" s="7">
        <v>0</v>
      </c>
      <c r="AT26" s="7">
        <v>0</v>
      </c>
      <c r="AU26" s="7">
        <v>0</v>
      </c>
      <c r="AV26" s="7">
        <v>0</v>
      </c>
      <c r="AW26" s="7">
        <v>0</v>
      </c>
      <c r="AX26" s="7">
        <v>0</v>
      </c>
    </row>
    <row r="27" spans="1:50" x14ac:dyDescent="0.45">
      <c r="A27" s="27"/>
      <c r="B27" s="27"/>
      <c r="C27" s="27"/>
      <c r="D27" s="27"/>
      <c r="F27" s="3">
        <v>26</v>
      </c>
      <c r="G27" s="7">
        <v>0</v>
      </c>
      <c r="H27" s="7">
        <v>0</v>
      </c>
      <c r="I27" s="7">
        <v>0</v>
      </c>
      <c r="J27" s="7">
        <v>0</v>
      </c>
      <c r="K27" s="7">
        <v>0</v>
      </c>
      <c r="L27" s="7">
        <v>0</v>
      </c>
      <c r="M27" s="7">
        <v>0</v>
      </c>
      <c r="N27" s="7">
        <v>0</v>
      </c>
      <c r="O27" s="7">
        <v>0</v>
      </c>
      <c r="P27" s="7">
        <v>0</v>
      </c>
      <c r="Q27" s="7">
        <v>1278.1149113182671</v>
      </c>
      <c r="R27" s="7">
        <v>0</v>
      </c>
      <c r="S27" s="7">
        <v>0</v>
      </c>
      <c r="T27" s="7">
        <v>0</v>
      </c>
      <c r="U27" s="7">
        <v>0</v>
      </c>
      <c r="V27" s="7">
        <v>0</v>
      </c>
      <c r="W27" s="7">
        <v>0</v>
      </c>
      <c r="X27" s="7">
        <v>0</v>
      </c>
      <c r="Y27" s="7">
        <v>0</v>
      </c>
      <c r="Z27" s="7">
        <v>0</v>
      </c>
      <c r="AA27" s="7">
        <v>0</v>
      </c>
      <c r="AB27" s="7">
        <v>0</v>
      </c>
      <c r="AC27" s="7">
        <v>0</v>
      </c>
      <c r="AD27" s="7">
        <v>0</v>
      </c>
      <c r="AE27" s="7">
        <v>3817.3463012259435</v>
      </c>
      <c r="AF27" s="7">
        <v>0</v>
      </c>
      <c r="AG27" s="7">
        <v>3670.0933111043319</v>
      </c>
      <c r="AH27" s="7">
        <v>0</v>
      </c>
      <c r="AI27" s="7">
        <v>0</v>
      </c>
      <c r="AJ27" s="7">
        <v>0</v>
      </c>
      <c r="AK27" s="7">
        <v>0</v>
      </c>
      <c r="AL27" s="7">
        <v>0</v>
      </c>
      <c r="AM27" s="7">
        <v>0</v>
      </c>
      <c r="AN27" s="7">
        <v>0</v>
      </c>
      <c r="AO27" s="7">
        <v>0</v>
      </c>
      <c r="AP27" s="7">
        <v>0</v>
      </c>
      <c r="AQ27" s="7">
        <v>0</v>
      </c>
      <c r="AR27" s="7">
        <v>1714.3349619245655</v>
      </c>
      <c r="AS27" s="7">
        <v>0</v>
      </c>
      <c r="AT27" s="7">
        <v>0</v>
      </c>
      <c r="AU27" s="7">
        <v>0</v>
      </c>
      <c r="AV27" s="7">
        <v>0</v>
      </c>
      <c r="AW27" s="7">
        <v>0</v>
      </c>
      <c r="AX27" s="7">
        <v>0</v>
      </c>
    </row>
    <row r="28" spans="1:50" x14ac:dyDescent="0.45">
      <c r="A28" s="27"/>
      <c r="B28" s="27"/>
      <c r="C28" s="27"/>
      <c r="D28" s="27"/>
      <c r="F28" s="3">
        <v>27</v>
      </c>
      <c r="G28" s="7">
        <v>0</v>
      </c>
      <c r="H28" s="7">
        <v>0</v>
      </c>
      <c r="I28" s="7">
        <v>0</v>
      </c>
      <c r="J28" s="7">
        <v>0</v>
      </c>
      <c r="K28" s="7">
        <v>0</v>
      </c>
      <c r="L28" s="7">
        <v>0</v>
      </c>
      <c r="M28" s="7">
        <v>0</v>
      </c>
      <c r="N28" s="7">
        <v>0</v>
      </c>
      <c r="O28" s="7">
        <v>0</v>
      </c>
      <c r="P28" s="7">
        <v>0</v>
      </c>
      <c r="Q28" s="7">
        <v>0</v>
      </c>
      <c r="R28" s="7">
        <v>5435.7796643907859</v>
      </c>
      <c r="S28" s="7">
        <v>0</v>
      </c>
      <c r="T28" s="7">
        <v>0</v>
      </c>
      <c r="U28" s="7">
        <v>0</v>
      </c>
      <c r="V28" s="7">
        <v>0</v>
      </c>
      <c r="W28" s="7">
        <v>0</v>
      </c>
      <c r="X28" s="7">
        <v>0</v>
      </c>
      <c r="Y28" s="7">
        <v>0</v>
      </c>
      <c r="Z28" s="7">
        <v>0</v>
      </c>
      <c r="AA28" s="7">
        <v>0</v>
      </c>
      <c r="AB28" s="7">
        <v>0</v>
      </c>
      <c r="AC28" s="7">
        <v>0</v>
      </c>
      <c r="AD28" s="7">
        <v>0</v>
      </c>
      <c r="AE28" s="7">
        <v>0</v>
      </c>
      <c r="AF28" s="7">
        <v>3640.56957904517</v>
      </c>
      <c r="AG28" s="7">
        <v>0</v>
      </c>
      <c r="AH28" s="7">
        <v>3451.9625337968146</v>
      </c>
      <c r="AI28" s="7">
        <v>0</v>
      </c>
      <c r="AJ28" s="7">
        <v>0</v>
      </c>
      <c r="AK28" s="7">
        <v>0</v>
      </c>
      <c r="AL28" s="7">
        <v>0</v>
      </c>
      <c r="AM28" s="7">
        <v>0</v>
      </c>
      <c r="AN28" s="7">
        <v>0</v>
      </c>
      <c r="AO28" s="7">
        <v>0</v>
      </c>
      <c r="AP28" s="7">
        <v>0</v>
      </c>
      <c r="AQ28" s="7">
        <v>0</v>
      </c>
      <c r="AR28" s="7">
        <v>0</v>
      </c>
      <c r="AS28" s="7">
        <v>7772.7688020685155</v>
      </c>
      <c r="AT28" s="7">
        <v>0</v>
      </c>
      <c r="AU28" s="7">
        <v>0</v>
      </c>
      <c r="AV28" s="7">
        <v>0</v>
      </c>
      <c r="AW28" s="7">
        <v>0</v>
      </c>
      <c r="AX28" s="7">
        <v>0</v>
      </c>
    </row>
    <row r="29" spans="1:50" x14ac:dyDescent="0.45">
      <c r="A29" s="27"/>
      <c r="B29" s="27"/>
      <c r="C29" s="27"/>
      <c r="D29" s="27"/>
      <c r="F29" s="3">
        <v>28</v>
      </c>
      <c r="G29" s="7">
        <v>0</v>
      </c>
      <c r="H29" s="7">
        <v>0</v>
      </c>
      <c r="I29" s="7">
        <v>0</v>
      </c>
      <c r="J29" s="7">
        <v>0</v>
      </c>
      <c r="K29" s="7">
        <v>0</v>
      </c>
      <c r="L29" s="7">
        <v>0</v>
      </c>
      <c r="M29" s="7">
        <v>0</v>
      </c>
      <c r="N29" s="7">
        <v>0</v>
      </c>
      <c r="O29" s="7">
        <v>0</v>
      </c>
      <c r="P29" s="7">
        <v>0</v>
      </c>
      <c r="Q29" s="7">
        <v>0</v>
      </c>
      <c r="R29" s="7">
        <v>0</v>
      </c>
      <c r="S29" s="7">
        <v>0</v>
      </c>
      <c r="T29" s="7">
        <v>0</v>
      </c>
      <c r="U29" s="7">
        <v>0</v>
      </c>
      <c r="V29" s="7">
        <v>0</v>
      </c>
      <c r="W29" s="7">
        <v>0</v>
      </c>
      <c r="X29" s="7">
        <v>0</v>
      </c>
      <c r="Y29" s="7">
        <v>0</v>
      </c>
      <c r="Z29" s="7">
        <v>0</v>
      </c>
      <c r="AA29" s="7">
        <v>0</v>
      </c>
      <c r="AB29" s="7">
        <v>0</v>
      </c>
      <c r="AC29" s="7">
        <v>0</v>
      </c>
      <c r="AD29" s="7">
        <v>0</v>
      </c>
      <c r="AE29" s="7">
        <v>0</v>
      </c>
      <c r="AF29" s="7">
        <v>0</v>
      </c>
      <c r="AG29" s="7">
        <v>3438.9439547718994</v>
      </c>
      <c r="AH29" s="7">
        <v>0</v>
      </c>
      <c r="AI29" s="7">
        <v>12075.826824797699</v>
      </c>
      <c r="AJ29" s="7">
        <v>0</v>
      </c>
      <c r="AK29" s="7">
        <v>0</v>
      </c>
      <c r="AL29" s="7">
        <v>0</v>
      </c>
      <c r="AM29" s="7">
        <v>0</v>
      </c>
      <c r="AN29" s="7">
        <v>0</v>
      </c>
      <c r="AO29" s="7">
        <v>0</v>
      </c>
      <c r="AP29" s="7">
        <v>0</v>
      </c>
      <c r="AQ29" s="7">
        <v>0</v>
      </c>
      <c r="AR29" s="7">
        <v>0</v>
      </c>
      <c r="AS29" s="7">
        <v>0</v>
      </c>
      <c r="AT29" s="7">
        <v>9967.8097332115649</v>
      </c>
      <c r="AU29" s="7">
        <v>0</v>
      </c>
      <c r="AV29" s="7">
        <v>0</v>
      </c>
      <c r="AW29" s="7">
        <v>0</v>
      </c>
      <c r="AX29" s="7">
        <v>0</v>
      </c>
    </row>
    <row r="30" spans="1:50" x14ac:dyDescent="0.45">
      <c r="F30" s="3">
        <v>29</v>
      </c>
      <c r="G30" s="7">
        <v>0</v>
      </c>
      <c r="H30" s="7">
        <v>0</v>
      </c>
      <c r="I30" s="7">
        <v>0</v>
      </c>
      <c r="J30" s="7">
        <v>0</v>
      </c>
      <c r="K30" s="7">
        <v>0</v>
      </c>
      <c r="L30" s="7">
        <v>0</v>
      </c>
      <c r="M30" s="7">
        <v>0</v>
      </c>
      <c r="N30" s="7">
        <v>0</v>
      </c>
      <c r="O30" s="7">
        <v>0</v>
      </c>
      <c r="P30" s="7">
        <v>0</v>
      </c>
      <c r="Q30" s="7">
        <v>0</v>
      </c>
      <c r="R30" s="7">
        <v>0</v>
      </c>
      <c r="S30" s="7">
        <v>3848.7911323577187</v>
      </c>
      <c r="T30" s="7">
        <v>0</v>
      </c>
      <c r="U30" s="7">
        <v>0</v>
      </c>
      <c r="V30" s="7">
        <v>0</v>
      </c>
      <c r="W30" s="7">
        <v>0</v>
      </c>
      <c r="X30" s="7">
        <v>0</v>
      </c>
      <c r="Y30" s="7">
        <v>0</v>
      </c>
      <c r="Z30" s="7">
        <v>0</v>
      </c>
      <c r="AA30" s="7">
        <v>0</v>
      </c>
      <c r="AB30" s="7">
        <v>0</v>
      </c>
      <c r="AC30" s="7">
        <v>0</v>
      </c>
      <c r="AD30" s="7">
        <v>0</v>
      </c>
      <c r="AE30" s="7">
        <v>0</v>
      </c>
      <c r="AF30" s="7">
        <v>0</v>
      </c>
      <c r="AG30" s="7">
        <v>0</v>
      </c>
      <c r="AH30" s="7">
        <v>12088.649090647015</v>
      </c>
      <c r="AI30" s="7">
        <v>0</v>
      </c>
      <c r="AJ30" s="7">
        <v>9863.7914672137158</v>
      </c>
      <c r="AK30" s="7">
        <v>0</v>
      </c>
      <c r="AL30" s="7">
        <v>0</v>
      </c>
      <c r="AM30" s="7">
        <v>0</v>
      </c>
      <c r="AN30" s="7">
        <v>0</v>
      </c>
      <c r="AO30" s="7">
        <v>0</v>
      </c>
      <c r="AP30" s="7">
        <v>0</v>
      </c>
      <c r="AQ30" s="7">
        <v>0</v>
      </c>
      <c r="AR30" s="7">
        <v>0</v>
      </c>
      <c r="AS30" s="7">
        <v>0</v>
      </c>
      <c r="AT30" s="7">
        <v>0</v>
      </c>
      <c r="AU30" s="7">
        <v>0</v>
      </c>
      <c r="AV30" s="7">
        <v>0</v>
      </c>
      <c r="AW30" s="7">
        <v>0</v>
      </c>
      <c r="AX30" s="7">
        <v>0</v>
      </c>
    </row>
    <row r="31" spans="1:50" x14ac:dyDescent="0.45">
      <c r="F31" s="3">
        <v>30</v>
      </c>
      <c r="G31" s="7">
        <v>0</v>
      </c>
      <c r="H31" s="7">
        <v>0</v>
      </c>
      <c r="I31" s="7">
        <v>0</v>
      </c>
      <c r="J31" s="7">
        <v>0</v>
      </c>
      <c r="K31" s="7">
        <v>0</v>
      </c>
      <c r="L31" s="7">
        <v>0</v>
      </c>
      <c r="M31" s="7">
        <v>0</v>
      </c>
      <c r="N31" s="7">
        <v>0</v>
      </c>
      <c r="O31" s="7">
        <v>0</v>
      </c>
      <c r="P31" s="7">
        <v>0</v>
      </c>
      <c r="Q31" s="7">
        <v>0</v>
      </c>
      <c r="R31" s="7">
        <v>0</v>
      </c>
      <c r="S31" s="7">
        <v>0</v>
      </c>
      <c r="T31" s="7">
        <v>3667.7964882827469</v>
      </c>
      <c r="U31" s="7">
        <v>1681.3507314140711</v>
      </c>
      <c r="V31" s="7">
        <v>0</v>
      </c>
      <c r="W31" s="7">
        <v>0</v>
      </c>
      <c r="X31" s="7">
        <v>0</v>
      </c>
      <c r="Y31" s="7">
        <v>0</v>
      </c>
      <c r="Z31" s="7">
        <v>0</v>
      </c>
      <c r="AA31" s="7">
        <v>0</v>
      </c>
      <c r="AB31" s="7">
        <v>0</v>
      </c>
      <c r="AC31" s="7">
        <v>0</v>
      </c>
      <c r="AD31" s="7">
        <v>0</v>
      </c>
      <c r="AE31" s="7">
        <v>0</v>
      </c>
      <c r="AF31" s="7">
        <v>0</v>
      </c>
      <c r="AG31" s="7">
        <v>0</v>
      </c>
      <c r="AH31" s="7">
        <v>0</v>
      </c>
      <c r="AI31" s="7">
        <v>9854.087126647255</v>
      </c>
      <c r="AJ31" s="7">
        <v>0</v>
      </c>
      <c r="AK31" s="7">
        <v>7563.6262973689663</v>
      </c>
      <c r="AL31" s="7">
        <v>0</v>
      </c>
      <c r="AM31" s="7">
        <v>0</v>
      </c>
      <c r="AN31" s="7">
        <v>0</v>
      </c>
      <c r="AO31" s="7">
        <v>0</v>
      </c>
      <c r="AP31" s="7">
        <v>0</v>
      </c>
      <c r="AQ31" s="7">
        <v>0</v>
      </c>
      <c r="AR31" s="7">
        <v>0</v>
      </c>
      <c r="AS31" s="7">
        <v>0</v>
      </c>
      <c r="AT31" s="7">
        <v>0</v>
      </c>
      <c r="AU31" s="7">
        <v>0</v>
      </c>
      <c r="AV31" s="7">
        <v>0</v>
      </c>
      <c r="AW31" s="7">
        <v>0</v>
      </c>
      <c r="AX31" s="7">
        <v>0</v>
      </c>
    </row>
    <row r="32" spans="1:50" x14ac:dyDescent="0.45">
      <c r="F32" s="3">
        <v>31</v>
      </c>
      <c r="G32" s="7">
        <v>0</v>
      </c>
      <c r="H32" s="7">
        <v>0</v>
      </c>
      <c r="I32" s="7">
        <v>0</v>
      </c>
      <c r="J32" s="7">
        <v>0</v>
      </c>
      <c r="K32" s="7">
        <v>0</v>
      </c>
      <c r="L32" s="7">
        <v>0</v>
      </c>
      <c r="M32" s="7">
        <v>0</v>
      </c>
      <c r="N32" s="7">
        <v>0</v>
      </c>
      <c r="O32" s="7">
        <v>0</v>
      </c>
      <c r="P32" s="7">
        <v>0</v>
      </c>
      <c r="Q32" s="7">
        <v>0</v>
      </c>
      <c r="R32" s="7">
        <v>0</v>
      </c>
      <c r="S32" s="7">
        <v>0</v>
      </c>
      <c r="T32" s="7">
        <v>0</v>
      </c>
      <c r="U32" s="7">
        <v>0</v>
      </c>
      <c r="V32" s="7">
        <v>1058.9048653699242</v>
      </c>
      <c r="W32" s="7">
        <v>0</v>
      </c>
      <c r="X32" s="7">
        <v>0</v>
      </c>
      <c r="Y32" s="7">
        <v>0</v>
      </c>
      <c r="Z32" s="7">
        <v>0</v>
      </c>
      <c r="AA32" s="7">
        <v>0</v>
      </c>
      <c r="AB32" s="7">
        <v>0</v>
      </c>
      <c r="AC32" s="7">
        <v>0</v>
      </c>
      <c r="AD32" s="7">
        <v>0</v>
      </c>
      <c r="AE32" s="7">
        <v>0</v>
      </c>
      <c r="AF32" s="7">
        <v>0</v>
      </c>
      <c r="AG32" s="7">
        <v>0</v>
      </c>
      <c r="AH32" s="7">
        <v>0</v>
      </c>
      <c r="AI32" s="7">
        <v>0</v>
      </c>
      <c r="AJ32" s="7">
        <v>7580.8182853698936</v>
      </c>
      <c r="AK32" s="7">
        <v>0</v>
      </c>
      <c r="AL32" s="7">
        <v>7935.7102612511035</v>
      </c>
      <c r="AM32" s="7">
        <v>0</v>
      </c>
      <c r="AN32" s="7">
        <v>0</v>
      </c>
      <c r="AO32" s="7">
        <v>0</v>
      </c>
      <c r="AP32" s="7">
        <v>0</v>
      </c>
      <c r="AQ32" s="7">
        <v>0</v>
      </c>
      <c r="AR32" s="7">
        <v>0</v>
      </c>
      <c r="AS32" s="7">
        <v>0</v>
      </c>
      <c r="AT32" s="7">
        <v>0</v>
      </c>
      <c r="AU32" s="7">
        <v>0</v>
      </c>
      <c r="AV32" s="7">
        <v>0</v>
      </c>
      <c r="AW32" s="7">
        <v>0</v>
      </c>
      <c r="AX32" s="7">
        <v>0</v>
      </c>
    </row>
    <row r="33" spans="6:50" x14ac:dyDescent="0.45">
      <c r="F33" s="3">
        <v>32</v>
      </c>
      <c r="G33" s="7">
        <v>0</v>
      </c>
      <c r="H33" s="7">
        <v>0</v>
      </c>
      <c r="I33" s="7">
        <v>0</v>
      </c>
      <c r="J33" s="7">
        <v>0</v>
      </c>
      <c r="K33" s="7">
        <v>0</v>
      </c>
      <c r="L33" s="7">
        <v>0</v>
      </c>
      <c r="M33" s="7">
        <v>0</v>
      </c>
      <c r="N33" s="7">
        <v>0</v>
      </c>
      <c r="O33" s="7">
        <v>0</v>
      </c>
      <c r="P33" s="7">
        <v>0</v>
      </c>
      <c r="Q33" s="7">
        <v>0</v>
      </c>
      <c r="R33" s="7">
        <v>0</v>
      </c>
      <c r="S33" s="7">
        <v>0</v>
      </c>
      <c r="T33" s="7">
        <v>0</v>
      </c>
      <c r="U33" s="7">
        <v>0</v>
      </c>
      <c r="V33" s="7">
        <v>0</v>
      </c>
      <c r="W33" s="7">
        <v>3611.7538183350352</v>
      </c>
      <c r="X33" s="7">
        <v>0</v>
      </c>
      <c r="Y33" s="7">
        <v>0</v>
      </c>
      <c r="Z33" s="7">
        <v>0</v>
      </c>
      <c r="AA33" s="7">
        <v>0</v>
      </c>
      <c r="AB33" s="7">
        <v>0</v>
      </c>
      <c r="AC33" s="7">
        <v>0</v>
      </c>
      <c r="AD33" s="7">
        <v>0</v>
      </c>
      <c r="AE33" s="7">
        <v>0</v>
      </c>
      <c r="AF33" s="7">
        <v>0</v>
      </c>
      <c r="AG33" s="7">
        <v>0</v>
      </c>
      <c r="AH33" s="7">
        <v>0</v>
      </c>
      <c r="AI33" s="7">
        <v>0</v>
      </c>
      <c r="AJ33" s="7">
        <v>0</v>
      </c>
      <c r="AK33" s="7">
        <v>7768.9032560256592</v>
      </c>
      <c r="AL33" s="7">
        <v>0</v>
      </c>
      <c r="AM33" s="7">
        <v>6104.9599273373433</v>
      </c>
      <c r="AN33" s="7">
        <v>0</v>
      </c>
      <c r="AO33" s="7">
        <v>0</v>
      </c>
      <c r="AP33" s="7">
        <v>0</v>
      </c>
      <c r="AQ33" s="7">
        <v>0</v>
      </c>
      <c r="AR33" s="7">
        <v>0</v>
      </c>
      <c r="AS33" s="7">
        <v>0</v>
      </c>
      <c r="AT33" s="7">
        <v>0</v>
      </c>
      <c r="AU33" s="7">
        <v>0</v>
      </c>
      <c r="AV33" s="7">
        <v>0</v>
      </c>
      <c r="AW33" s="7">
        <v>0</v>
      </c>
      <c r="AX33" s="7">
        <v>0</v>
      </c>
    </row>
    <row r="34" spans="6:50" x14ac:dyDescent="0.45">
      <c r="F34" s="3">
        <v>33</v>
      </c>
      <c r="G34" s="7">
        <v>0</v>
      </c>
      <c r="H34" s="7">
        <v>0</v>
      </c>
      <c r="I34" s="7">
        <v>0</v>
      </c>
      <c r="J34" s="7">
        <v>0</v>
      </c>
      <c r="K34" s="7">
        <v>0</v>
      </c>
      <c r="L34" s="7">
        <v>0</v>
      </c>
      <c r="M34" s="7">
        <v>0</v>
      </c>
      <c r="N34" s="7">
        <v>0</v>
      </c>
      <c r="O34" s="7">
        <v>0</v>
      </c>
      <c r="P34" s="7">
        <v>0</v>
      </c>
      <c r="Q34" s="7">
        <v>0</v>
      </c>
      <c r="R34" s="7">
        <v>0</v>
      </c>
      <c r="S34" s="7">
        <v>0</v>
      </c>
      <c r="T34" s="7">
        <v>0</v>
      </c>
      <c r="U34" s="7">
        <v>0</v>
      </c>
      <c r="V34" s="7">
        <v>0</v>
      </c>
      <c r="W34" s="7">
        <v>0</v>
      </c>
      <c r="X34" s="7">
        <v>5819.0278737200915</v>
      </c>
      <c r="Y34" s="7">
        <v>0</v>
      </c>
      <c r="Z34" s="7">
        <v>0</v>
      </c>
      <c r="AA34" s="7">
        <v>0</v>
      </c>
      <c r="AB34" s="7">
        <v>0</v>
      </c>
      <c r="AC34" s="7">
        <v>0</v>
      </c>
      <c r="AD34" s="7">
        <v>0</v>
      </c>
      <c r="AE34" s="7">
        <v>0</v>
      </c>
      <c r="AF34" s="7">
        <v>0</v>
      </c>
      <c r="AG34" s="7">
        <v>0</v>
      </c>
      <c r="AH34" s="7">
        <v>0</v>
      </c>
      <c r="AI34" s="7">
        <v>0</v>
      </c>
      <c r="AJ34" s="7">
        <v>0</v>
      </c>
      <c r="AK34" s="7">
        <v>0</v>
      </c>
      <c r="AL34" s="7">
        <v>5903.034242158742</v>
      </c>
      <c r="AM34" s="7">
        <v>0</v>
      </c>
      <c r="AN34" s="7">
        <v>3398.278148911606</v>
      </c>
      <c r="AO34" s="7">
        <v>0</v>
      </c>
      <c r="AP34" s="7">
        <v>0</v>
      </c>
      <c r="AQ34" s="7">
        <v>0</v>
      </c>
      <c r="AR34" s="7">
        <v>0</v>
      </c>
      <c r="AS34" s="7">
        <v>0</v>
      </c>
      <c r="AT34" s="7">
        <v>0</v>
      </c>
      <c r="AU34" s="7">
        <v>0</v>
      </c>
      <c r="AV34" s="7">
        <v>8549.4341470080381</v>
      </c>
      <c r="AW34" s="7">
        <v>0</v>
      </c>
      <c r="AX34" s="7">
        <v>0</v>
      </c>
    </row>
    <row r="35" spans="6:50" x14ac:dyDescent="0.45">
      <c r="F35" s="3">
        <v>34</v>
      </c>
      <c r="G35" s="7">
        <v>0</v>
      </c>
      <c r="H35" s="7">
        <v>0</v>
      </c>
      <c r="I35" s="7">
        <v>0</v>
      </c>
      <c r="J35" s="7">
        <v>0</v>
      </c>
      <c r="K35" s="7">
        <v>0</v>
      </c>
      <c r="L35" s="7">
        <v>0</v>
      </c>
      <c r="M35" s="7">
        <v>0</v>
      </c>
      <c r="N35" s="7">
        <v>0</v>
      </c>
      <c r="O35" s="7">
        <v>0</v>
      </c>
      <c r="P35" s="7">
        <v>0</v>
      </c>
      <c r="Q35" s="7">
        <v>0</v>
      </c>
      <c r="R35" s="7">
        <v>0</v>
      </c>
      <c r="S35" s="7">
        <v>0</v>
      </c>
      <c r="T35" s="7">
        <v>0</v>
      </c>
      <c r="U35" s="7">
        <v>0</v>
      </c>
      <c r="V35" s="7">
        <v>0</v>
      </c>
      <c r="W35" s="7">
        <v>0</v>
      </c>
      <c r="X35" s="7">
        <v>0</v>
      </c>
      <c r="Y35" s="7">
        <v>733.66558286308702</v>
      </c>
      <c r="Z35" s="7">
        <v>0</v>
      </c>
      <c r="AA35" s="7">
        <v>0</v>
      </c>
      <c r="AB35" s="7">
        <v>0</v>
      </c>
      <c r="AC35" s="7">
        <v>0</v>
      </c>
      <c r="AD35" s="7">
        <v>0</v>
      </c>
      <c r="AE35" s="7">
        <v>0</v>
      </c>
      <c r="AF35" s="7">
        <v>0</v>
      </c>
      <c r="AG35" s="7">
        <v>0</v>
      </c>
      <c r="AH35" s="7">
        <v>0</v>
      </c>
      <c r="AI35" s="7">
        <v>0</v>
      </c>
      <c r="AJ35" s="7">
        <v>0</v>
      </c>
      <c r="AK35" s="7">
        <v>0</v>
      </c>
      <c r="AL35" s="7">
        <v>0</v>
      </c>
      <c r="AM35" s="7">
        <v>3200.3014709381782</v>
      </c>
      <c r="AN35" s="7">
        <v>0</v>
      </c>
      <c r="AO35" s="7">
        <v>3290.0630725085571</v>
      </c>
      <c r="AP35" s="7">
        <v>0</v>
      </c>
      <c r="AQ35" s="7">
        <v>0</v>
      </c>
      <c r="AR35" s="7">
        <v>0</v>
      </c>
      <c r="AS35" s="7">
        <v>0</v>
      </c>
      <c r="AT35" s="7">
        <v>0</v>
      </c>
      <c r="AU35" s="7">
        <v>0</v>
      </c>
      <c r="AV35" s="7">
        <v>0</v>
      </c>
      <c r="AW35" s="7">
        <v>0</v>
      </c>
      <c r="AX35" s="7">
        <v>0</v>
      </c>
    </row>
    <row r="36" spans="6:50" x14ac:dyDescent="0.45">
      <c r="F36" s="3">
        <v>35</v>
      </c>
      <c r="G36" s="7">
        <v>0</v>
      </c>
      <c r="H36" s="7">
        <v>0</v>
      </c>
      <c r="I36" s="7">
        <v>0</v>
      </c>
      <c r="J36" s="7">
        <v>0</v>
      </c>
      <c r="K36" s="7">
        <v>0</v>
      </c>
      <c r="L36" s="7">
        <v>0</v>
      </c>
      <c r="M36" s="7">
        <v>0</v>
      </c>
      <c r="N36" s="7">
        <v>0</v>
      </c>
      <c r="O36" s="7">
        <v>0</v>
      </c>
      <c r="P36" s="7">
        <v>0</v>
      </c>
      <c r="Q36" s="7">
        <v>0</v>
      </c>
      <c r="R36" s="7">
        <v>0</v>
      </c>
      <c r="S36" s="7">
        <v>0</v>
      </c>
      <c r="T36" s="7">
        <v>0</v>
      </c>
      <c r="U36" s="7">
        <v>0</v>
      </c>
      <c r="V36" s="7">
        <v>0</v>
      </c>
      <c r="W36" s="7">
        <v>0</v>
      </c>
      <c r="X36" s="7">
        <v>0</v>
      </c>
      <c r="Y36" s="7">
        <v>0</v>
      </c>
      <c r="Z36" s="7">
        <v>0</v>
      </c>
      <c r="AA36" s="7">
        <v>0</v>
      </c>
      <c r="AB36" s="7">
        <v>0</v>
      </c>
      <c r="AC36" s="7">
        <v>0</v>
      </c>
      <c r="AD36" s="7">
        <v>0</v>
      </c>
      <c r="AE36" s="7">
        <v>0</v>
      </c>
      <c r="AF36" s="7">
        <v>0</v>
      </c>
      <c r="AG36" s="7">
        <v>0</v>
      </c>
      <c r="AH36" s="7">
        <v>0</v>
      </c>
      <c r="AI36" s="7">
        <v>0</v>
      </c>
      <c r="AJ36" s="7">
        <v>0</v>
      </c>
      <c r="AK36" s="7">
        <v>0</v>
      </c>
      <c r="AL36" s="7">
        <v>0</v>
      </c>
      <c r="AM36" s="7">
        <v>0</v>
      </c>
      <c r="AN36" s="7">
        <v>2927.4935260332336</v>
      </c>
      <c r="AO36" s="7">
        <v>0</v>
      </c>
      <c r="AP36" s="7">
        <v>3290.0630725085571</v>
      </c>
      <c r="AQ36" s="7">
        <v>0</v>
      </c>
      <c r="AR36" s="7">
        <v>0</v>
      </c>
      <c r="AS36" s="7">
        <v>0</v>
      </c>
      <c r="AT36" s="7">
        <v>0</v>
      </c>
      <c r="AU36" s="7">
        <v>0</v>
      </c>
      <c r="AV36" s="7">
        <v>0</v>
      </c>
      <c r="AW36" s="7">
        <v>0</v>
      </c>
      <c r="AX36" s="7">
        <v>0</v>
      </c>
    </row>
    <row r="37" spans="6:50" x14ac:dyDescent="0.45">
      <c r="F37" s="3">
        <v>36</v>
      </c>
      <c r="G37" s="7">
        <v>0</v>
      </c>
      <c r="H37" s="7">
        <v>0</v>
      </c>
      <c r="I37" s="7">
        <v>0</v>
      </c>
      <c r="J37" s="7">
        <v>0</v>
      </c>
      <c r="K37" s="7">
        <v>0</v>
      </c>
      <c r="L37" s="7">
        <v>0</v>
      </c>
      <c r="M37" s="7">
        <v>0</v>
      </c>
      <c r="N37" s="7">
        <v>0</v>
      </c>
      <c r="O37" s="7">
        <v>0</v>
      </c>
      <c r="P37" s="7">
        <v>0</v>
      </c>
      <c r="Q37" s="7">
        <v>0</v>
      </c>
      <c r="R37" s="7">
        <v>0</v>
      </c>
      <c r="S37" s="7">
        <v>0</v>
      </c>
      <c r="T37" s="7">
        <v>0</v>
      </c>
      <c r="U37" s="7">
        <v>0</v>
      </c>
      <c r="V37" s="7">
        <v>0</v>
      </c>
      <c r="W37" s="7">
        <v>0</v>
      </c>
      <c r="X37" s="7">
        <v>0</v>
      </c>
      <c r="Y37" s="7">
        <v>0</v>
      </c>
      <c r="Z37" s="7">
        <v>0</v>
      </c>
      <c r="AA37" s="7">
        <v>4826.0267020678793</v>
      </c>
      <c r="AB37" s="7">
        <v>0</v>
      </c>
      <c r="AC37" s="7">
        <v>0</v>
      </c>
      <c r="AD37" s="7">
        <v>0</v>
      </c>
      <c r="AE37" s="7">
        <v>0</v>
      </c>
      <c r="AF37" s="7">
        <v>0</v>
      </c>
      <c r="AG37" s="7">
        <v>0</v>
      </c>
      <c r="AH37" s="7">
        <v>0</v>
      </c>
      <c r="AI37" s="7">
        <v>0</v>
      </c>
      <c r="AJ37" s="7">
        <v>0</v>
      </c>
      <c r="AK37" s="7">
        <v>0</v>
      </c>
      <c r="AL37" s="7">
        <v>0</v>
      </c>
      <c r="AM37" s="7">
        <v>0</v>
      </c>
      <c r="AN37" s="7">
        <v>0</v>
      </c>
      <c r="AO37" s="7">
        <v>2927.4935260332336</v>
      </c>
      <c r="AP37" s="7">
        <v>0</v>
      </c>
      <c r="AQ37" s="7">
        <v>2522.1284548451567</v>
      </c>
      <c r="AR37" s="7">
        <v>0</v>
      </c>
      <c r="AS37" s="7">
        <v>0</v>
      </c>
      <c r="AT37" s="7">
        <v>0</v>
      </c>
      <c r="AU37" s="7">
        <v>0</v>
      </c>
      <c r="AV37" s="7">
        <v>0</v>
      </c>
      <c r="AW37" s="7">
        <v>7735.9172619418323</v>
      </c>
      <c r="AX37" s="7">
        <v>0</v>
      </c>
    </row>
    <row r="38" spans="6:50" x14ac:dyDescent="0.45">
      <c r="F38" s="3">
        <v>37</v>
      </c>
      <c r="G38" s="7">
        <v>0</v>
      </c>
      <c r="H38" s="7">
        <v>0</v>
      </c>
      <c r="I38" s="7">
        <v>0</v>
      </c>
      <c r="J38" s="7">
        <v>0</v>
      </c>
      <c r="K38" s="7">
        <v>0</v>
      </c>
      <c r="L38" s="7">
        <v>0</v>
      </c>
      <c r="M38" s="7">
        <v>0</v>
      </c>
      <c r="N38" s="7">
        <v>0</v>
      </c>
      <c r="O38" s="7">
        <v>0</v>
      </c>
      <c r="P38" s="7">
        <v>0</v>
      </c>
      <c r="Q38" s="7">
        <v>0</v>
      </c>
      <c r="R38" s="7">
        <v>0</v>
      </c>
      <c r="S38" s="7">
        <v>0</v>
      </c>
      <c r="T38" s="7">
        <v>0</v>
      </c>
      <c r="U38" s="7">
        <v>0</v>
      </c>
      <c r="V38" s="7">
        <v>0</v>
      </c>
      <c r="W38" s="7">
        <v>0</v>
      </c>
      <c r="X38" s="7">
        <v>0</v>
      </c>
      <c r="Y38" s="7">
        <v>0</v>
      </c>
      <c r="Z38" s="7">
        <v>0</v>
      </c>
      <c r="AA38" s="7">
        <v>0</v>
      </c>
      <c r="AB38" s="7">
        <v>0</v>
      </c>
      <c r="AC38" s="7">
        <v>0</v>
      </c>
      <c r="AD38" s="7">
        <v>0</v>
      </c>
      <c r="AE38" s="7">
        <v>0</v>
      </c>
      <c r="AF38" s="7">
        <v>0</v>
      </c>
      <c r="AG38" s="7">
        <v>0</v>
      </c>
      <c r="AH38" s="7">
        <v>0</v>
      </c>
      <c r="AI38" s="7">
        <v>0</v>
      </c>
      <c r="AJ38" s="7">
        <v>0</v>
      </c>
      <c r="AK38" s="7">
        <v>0</v>
      </c>
      <c r="AL38" s="7">
        <v>0</v>
      </c>
      <c r="AM38" s="7">
        <v>0</v>
      </c>
      <c r="AN38" s="7">
        <v>0</v>
      </c>
      <c r="AO38" s="7">
        <v>0</v>
      </c>
      <c r="AP38" s="7">
        <v>2380.5129689769406</v>
      </c>
      <c r="AQ38" s="7">
        <v>0</v>
      </c>
      <c r="AR38" s="7">
        <v>4546.7579889124854</v>
      </c>
      <c r="AS38" s="7">
        <v>0</v>
      </c>
      <c r="AT38" s="7">
        <v>0</v>
      </c>
      <c r="AU38" s="7">
        <v>0</v>
      </c>
      <c r="AV38" s="7">
        <v>0</v>
      </c>
      <c r="AW38" s="7">
        <v>0</v>
      </c>
      <c r="AX38" s="7">
        <v>2310.3467291313218</v>
      </c>
    </row>
    <row r="39" spans="6:50" x14ac:dyDescent="0.45">
      <c r="F39" s="3">
        <v>38</v>
      </c>
      <c r="G39" s="7">
        <v>0</v>
      </c>
      <c r="H39" s="7">
        <v>0</v>
      </c>
      <c r="I39" s="7">
        <v>0</v>
      </c>
      <c r="J39" s="7">
        <v>0</v>
      </c>
      <c r="K39" s="7">
        <v>0</v>
      </c>
      <c r="L39" s="7">
        <v>0</v>
      </c>
      <c r="M39" s="7">
        <v>0</v>
      </c>
      <c r="N39" s="7">
        <v>0</v>
      </c>
      <c r="O39" s="7">
        <v>0</v>
      </c>
      <c r="P39" s="7">
        <v>0</v>
      </c>
      <c r="Q39" s="7">
        <v>0</v>
      </c>
      <c r="R39" s="7">
        <v>0</v>
      </c>
      <c r="S39" s="7">
        <v>0</v>
      </c>
      <c r="T39" s="7">
        <v>0</v>
      </c>
      <c r="U39" s="7">
        <v>0</v>
      </c>
      <c r="V39" s="7">
        <v>0</v>
      </c>
      <c r="W39" s="7">
        <v>0</v>
      </c>
      <c r="X39" s="7">
        <v>0</v>
      </c>
      <c r="Y39" s="7">
        <v>0</v>
      </c>
      <c r="Z39" s="7">
        <v>0</v>
      </c>
      <c r="AA39" s="7">
        <v>0</v>
      </c>
      <c r="AB39" s="7">
        <v>0</v>
      </c>
      <c r="AC39" s="7">
        <v>2250.2148352927452</v>
      </c>
      <c r="AD39" s="7">
        <v>0</v>
      </c>
      <c r="AE39" s="7">
        <v>0</v>
      </c>
      <c r="AF39" s="7">
        <v>1905.565959752922</v>
      </c>
      <c r="AG39" s="7">
        <v>0</v>
      </c>
      <c r="AH39" s="7">
        <v>0</v>
      </c>
      <c r="AI39" s="7">
        <v>0</v>
      </c>
      <c r="AJ39" s="7">
        <v>0</v>
      </c>
      <c r="AK39" s="7">
        <v>0</v>
      </c>
      <c r="AL39" s="7">
        <v>0</v>
      </c>
      <c r="AM39" s="7">
        <v>0</v>
      </c>
      <c r="AN39" s="7">
        <v>0</v>
      </c>
      <c r="AO39" s="7">
        <v>0</v>
      </c>
      <c r="AP39" s="7">
        <v>0</v>
      </c>
      <c r="AQ39" s="7">
        <v>4424.2799354716262</v>
      </c>
      <c r="AR39" s="7">
        <v>0</v>
      </c>
      <c r="AS39" s="7">
        <v>1616.9685623188177</v>
      </c>
      <c r="AT39" s="7">
        <v>0</v>
      </c>
      <c r="AU39" s="7">
        <v>0</v>
      </c>
      <c r="AV39" s="7">
        <v>0</v>
      </c>
      <c r="AW39" s="7">
        <v>0</v>
      </c>
      <c r="AX39" s="7">
        <v>0</v>
      </c>
    </row>
    <row r="40" spans="6:50" x14ac:dyDescent="0.45">
      <c r="F40" s="3">
        <v>39</v>
      </c>
      <c r="G40" s="7">
        <v>0</v>
      </c>
      <c r="H40" s="7">
        <v>0</v>
      </c>
      <c r="I40" s="7">
        <v>0</v>
      </c>
      <c r="J40" s="7">
        <v>0</v>
      </c>
      <c r="K40" s="7">
        <v>0</v>
      </c>
      <c r="L40" s="7">
        <v>0</v>
      </c>
      <c r="M40" s="7">
        <v>0</v>
      </c>
      <c r="N40" s="7">
        <v>0</v>
      </c>
      <c r="O40" s="7">
        <v>0</v>
      </c>
      <c r="P40" s="7">
        <v>0</v>
      </c>
      <c r="Q40" s="7">
        <v>0</v>
      </c>
      <c r="R40" s="7">
        <v>0</v>
      </c>
      <c r="S40" s="7">
        <v>0</v>
      </c>
      <c r="T40" s="7">
        <v>0</v>
      </c>
      <c r="U40" s="7">
        <v>0</v>
      </c>
      <c r="V40" s="7">
        <v>0</v>
      </c>
      <c r="W40" s="7">
        <v>0</v>
      </c>
      <c r="X40" s="7">
        <v>0</v>
      </c>
      <c r="Y40" s="7">
        <v>0</v>
      </c>
      <c r="Z40" s="7">
        <v>0</v>
      </c>
      <c r="AA40" s="7">
        <v>0</v>
      </c>
      <c r="AB40" s="7">
        <v>0</v>
      </c>
      <c r="AC40" s="7">
        <v>0</v>
      </c>
      <c r="AD40" s="7">
        <v>0</v>
      </c>
      <c r="AE40" s="7">
        <v>0</v>
      </c>
      <c r="AF40" s="7">
        <v>0</v>
      </c>
      <c r="AG40" s="7">
        <v>7890.636813026078</v>
      </c>
      <c r="AH40" s="7">
        <v>0</v>
      </c>
      <c r="AI40" s="7">
        <v>0</v>
      </c>
      <c r="AJ40" s="7">
        <v>0</v>
      </c>
      <c r="AK40" s="7">
        <v>0</v>
      </c>
      <c r="AL40" s="7">
        <v>0</v>
      </c>
      <c r="AM40" s="7">
        <v>0</v>
      </c>
      <c r="AN40" s="7">
        <v>0</v>
      </c>
      <c r="AO40" s="7">
        <v>0</v>
      </c>
      <c r="AP40" s="7">
        <v>0</v>
      </c>
      <c r="AQ40" s="7">
        <v>0</v>
      </c>
      <c r="AR40" s="7">
        <v>1460.9883906062817</v>
      </c>
      <c r="AS40" s="7">
        <v>0</v>
      </c>
      <c r="AT40" s="7">
        <v>3096.1226531728671</v>
      </c>
      <c r="AU40" s="7">
        <v>0</v>
      </c>
      <c r="AV40" s="7">
        <v>0</v>
      </c>
      <c r="AW40" s="7">
        <v>0</v>
      </c>
      <c r="AX40" s="7">
        <v>6816.0990912582447</v>
      </c>
    </row>
    <row r="41" spans="6:50" x14ac:dyDescent="0.45">
      <c r="F41" s="3">
        <v>40</v>
      </c>
      <c r="G41" s="7">
        <v>0</v>
      </c>
      <c r="H41" s="7">
        <v>0</v>
      </c>
      <c r="I41" s="7">
        <v>0</v>
      </c>
      <c r="J41" s="7">
        <v>0</v>
      </c>
      <c r="K41" s="7">
        <v>0</v>
      </c>
      <c r="L41" s="7">
        <v>0</v>
      </c>
      <c r="M41" s="7">
        <v>0</v>
      </c>
      <c r="N41" s="7">
        <v>0</v>
      </c>
      <c r="O41" s="7">
        <v>0</v>
      </c>
      <c r="P41" s="7">
        <v>0</v>
      </c>
      <c r="Q41" s="7">
        <v>0</v>
      </c>
      <c r="R41" s="7">
        <v>0</v>
      </c>
      <c r="S41" s="7">
        <v>0</v>
      </c>
      <c r="T41" s="7">
        <v>0</v>
      </c>
      <c r="U41" s="7">
        <v>0</v>
      </c>
      <c r="V41" s="7">
        <v>0</v>
      </c>
      <c r="W41" s="7">
        <v>0</v>
      </c>
      <c r="X41" s="7">
        <v>0</v>
      </c>
      <c r="Y41" s="7">
        <v>0</v>
      </c>
      <c r="Z41" s="7">
        <v>0</v>
      </c>
      <c r="AA41" s="7">
        <v>0</v>
      </c>
      <c r="AB41" s="7">
        <v>0</v>
      </c>
      <c r="AC41" s="7">
        <v>0</v>
      </c>
      <c r="AD41" s="7">
        <v>0</v>
      </c>
      <c r="AE41" s="7">
        <v>0</v>
      </c>
      <c r="AF41" s="7">
        <v>0</v>
      </c>
      <c r="AG41" s="7">
        <v>0</v>
      </c>
      <c r="AH41" s="7">
        <v>9941.9688883373237</v>
      </c>
      <c r="AI41" s="7">
        <v>0</v>
      </c>
      <c r="AJ41" s="7">
        <v>0</v>
      </c>
      <c r="AK41" s="7">
        <v>0</v>
      </c>
      <c r="AL41" s="7">
        <v>0</v>
      </c>
      <c r="AM41" s="7">
        <v>0</v>
      </c>
      <c r="AN41" s="7">
        <v>0</v>
      </c>
      <c r="AO41" s="7">
        <v>0</v>
      </c>
      <c r="AP41" s="7">
        <v>0</v>
      </c>
      <c r="AQ41" s="7">
        <v>0</v>
      </c>
      <c r="AR41" s="7">
        <v>0</v>
      </c>
      <c r="AS41" s="7">
        <v>3085.6952100681492</v>
      </c>
      <c r="AT41" s="7">
        <v>0</v>
      </c>
      <c r="AU41" s="7">
        <v>9160.736762759032</v>
      </c>
      <c r="AV41" s="7">
        <v>0</v>
      </c>
      <c r="AW41" s="7">
        <v>0</v>
      </c>
      <c r="AX41" s="7">
        <v>0</v>
      </c>
    </row>
    <row r="42" spans="6:50" x14ac:dyDescent="0.45">
      <c r="F42" s="3">
        <v>41</v>
      </c>
      <c r="G42" s="7">
        <v>0</v>
      </c>
      <c r="H42" s="7">
        <v>0</v>
      </c>
      <c r="I42" s="7">
        <v>0</v>
      </c>
      <c r="J42" s="7">
        <v>0</v>
      </c>
      <c r="K42" s="7">
        <v>0</v>
      </c>
      <c r="L42" s="7">
        <v>0</v>
      </c>
      <c r="M42" s="7">
        <v>0</v>
      </c>
      <c r="N42" s="7">
        <v>0</v>
      </c>
      <c r="O42" s="7">
        <v>0</v>
      </c>
      <c r="P42" s="7">
        <v>0</v>
      </c>
      <c r="Q42" s="7">
        <v>0</v>
      </c>
      <c r="R42" s="7">
        <v>0</v>
      </c>
      <c r="S42" s="7">
        <v>0</v>
      </c>
      <c r="T42" s="7">
        <v>0</v>
      </c>
      <c r="U42" s="7">
        <v>0</v>
      </c>
      <c r="V42" s="7">
        <v>0</v>
      </c>
      <c r="W42" s="7">
        <v>0</v>
      </c>
      <c r="X42" s="7">
        <v>0</v>
      </c>
      <c r="Y42" s="7">
        <v>0</v>
      </c>
      <c r="Z42" s="7">
        <v>0</v>
      </c>
      <c r="AA42" s="7">
        <v>0</v>
      </c>
      <c r="AB42" s="7">
        <v>0</v>
      </c>
      <c r="AC42" s="7">
        <v>0</v>
      </c>
      <c r="AD42" s="7">
        <v>0</v>
      </c>
      <c r="AE42" s="7">
        <v>0</v>
      </c>
      <c r="AF42" s="7">
        <v>0</v>
      </c>
      <c r="AG42" s="7">
        <v>0</v>
      </c>
      <c r="AH42" s="7">
        <v>0</v>
      </c>
      <c r="AI42" s="7">
        <v>0</v>
      </c>
      <c r="AJ42" s="7">
        <v>0</v>
      </c>
      <c r="AK42" s="7">
        <v>0</v>
      </c>
      <c r="AL42" s="7">
        <v>0</v>
      </c>
      <c r="AM42" s="7">
        <v>0</v>
      </c>
      <c r="AN42" s="7">
        <v>0</v>
      </c>
      <c r="AO42" s="7">
        <v>0</v>
      </c>
      <c r="AP42" s="7">
        <v>0</v>
      </c>
      <c r="AQ42" s="7">
        <v>0</v>
      </c>
      <c r="AR42" s="7">
        <v>0</v>
      </c>
      <c r="AS42" s="7">
        <v>0</v>
      </c>
      <c r="AT42" s="7">
        <v>9140.1879242947562</v>
      </c>
      <c r="AU42" s="7">
        <v>0</v>
      </c>
      <c r="AV42" s="7">
        <v>8744.4742136924815</v>
      </c>
      <c r="AW42" s="7">
        <v>0</v>
      </c>
      <c r="AX42" s="7">
        <v>1211.3244302638564</v>
      </c>
    </row>
    <row r="43" spans="6:50" x14ac:dyDescent="0.45">
      <c r="F43" s="3">
        <v>42</v>
      </c>
      <c r="G43" s="7">
        <v>0</v>
      </c>
      <c r="H43" s="7">
        <v>0</v>
      </c>
      <c r="I43" s="7">
        <v>0</v>
      </c>
      <c r="J43" s="7">
        <v>0</v>
      </c>
      <c r="K43" s="7">
        <v>0</v>
      </c>
      <c r="L43" s="7">
        <v>0</v>
      </c>
      <c r="M43" s="7">
        <v>0</v>
      </c>
      <c r="N43" s="7">
        <v>0</v>
      </c>
      <c r="O43" s="7">
        <v>0</v>
      </c>
      <c r="P43" s="7">
        <v>0</v>
      </c>
      <c r="Q43" s="7">
        <v>0</v>
      </c>
      <c r="R43" s="7">
        <v>0</v>
      </c>
      <c r="S43" s="7">
        <v>0</v>
      </c>
      <c r="T43" s="7">
        <v>0</v>
      </c>
      <c r="U43" s="7">
        <v>0</v>
      </c>
      <c r="V43" s="7">
        <v>0</v>
      </c>
      <c r="W43" s="7">
        <v>0</v>
      </c>
      <c r="X43" s="7">
        <v>0</v>
      </c>
      <c r="Y43" s="7">
        <v>0</v>
      </c>
      <c r="Z43" s="7">
        <v>0</v>
      </c>
      <c r="AA43" s="7">
        <v>0</v>
      </c>
      <c r="AB43" s="7">
        <v>0</v>
      </c>
      <c r="AC43" s="7">
        <v>0</v>
      </c>
      <c r="AD43" s="7">
        <v>0</v>
      </c>
      <c r="AE43" s="7">
        <v>0</v>
      </c>
      <c r="AF43" s="7">
        <v>0</v>
      </c>
      <c r="AG43" s="7">
        <v>0</v>
      </c>
      <c r="AH43" s="7">
        <v>0</v>
      </c>
      <c r="AI43" s="7">
        <v>0</v>
      </c>
      <c r="AJ43" s="7">
        <v>0</v>
      </c>
      <c r="AK43" s="7">
        <v>0</v>
      </c>
      <c r="AL43" s="7">
        <v>0</v>
      </c>
      <c r="AM43" s="7">
        <v>8747.7185288038509</v>
      </c>
      <c r="AN43" s="7">
        <v>0</v>
      </c>
      <c r="AO43" s="7">
        <v>0</v>
      </c>
      <c r="AP43" s="7">
        <v>0</v>
      </c>
      <c r="AQ43" s="7">
        <v>0</v>
      </c>
      <c r="AR43" s="7">
        <v>0</v>
      </c>
      <c r="AS43" s="7">
        <v>0</v>
      </c>
      <c r="AT43" s="7">
        <v>0</v>
      </c>
      <c r="AU43" s="7">
        <v>8721.0416219813887</v>
      </c>
      <c r="AV43" s="7">
        <v>0</v>
      </c>
      <c r="AW43" s="7">
        <v>8024.8975325209658</v>
      </c>
      <c r="AX43" s="7">
        <v>0</v>
      </c>
    </row>
    <row r="44" spans="6:50" x14ac:dyDescent="0.45">
      <c r="F44" s="3">
        <v>43</v>
      </c>
      <c r="G44" s="7">
        <v>0</v>
      </c>
      <c r="H44" s="7">
        <v>0</v>
      </c>
      <c r="I44" s="7">
        <v>0</v>
      </c>
      <c r="J44" s="7">
        <v>0</v>
      </c>
      <c r="K44" s="7">
        <v>0</v>
      </c>
      <c r="L44" s="7">
        <v>0</v>
      </c>
      <c r="M44" s="7">
        <v>0</v>
      </c>
      <c r="N44" s="7">
        <v>0</v>
      </c>
      <c r="O44" s="7">
        <v>0</v>
      </c>
      <c r="P44" s="7">
        <v>0</v>
      </c>
      <c r="Q44" s="7">
        <v>0</v>
      </c>
      <c r="R44" s="7">
        <v>0</v>
      </c>
      <c r="S44" s="7">
        <v>0</v>
      </c>
      <c r="T44" s="7">
        <v>0</v>
      </c>
      <c r="U44" s="7">
        <v>0</v>
      </c>
      <c r="V44" s="7">
        <v>0</v>
      </c>
      <c r="W44" s="7">
        <v>0</v>
      </c>
      <c r="X44" s="7">
        <v>0</v>
      </c>
      <c r="Y44" s="7">
        <v>0</v>
      </c>
      <c r="Z44" s="7">
        <v>0</v>
      </c>
      <c r="AA44" s="7">
        <v>0</v>
      </c>
      <c r="AB44" s="7">
        <v>0</v>
      </c>
      <c r="AC44" s="7">
        <v>0</v>
      </c>
      <c r="AD44" s="7">
        <v>0</v>
      </c>
      <c r="AE44" s="7">
        <v>0</v>
      </c>
      <c r="AF44" s="7">
        <v>0</v>
      </c>
      <c r="AG44" s="7">
        <v>0</v>
      </c>
      <c r="AH44" s="7">
        <v>0</v>
      </c>
      <c r="AI44" s="7">
        <v>0</v>
      </c>
      <c r="AJ44" s="7">
        <v>0</v>
      </c>
      <c r="AK44" s="7">
        <v>0</v>
      </c>
      <c r="AL44" s="7">
        <v>0</v>
      </c>
      <c r="AM44" s="7">
        <v>0</v>
      </c>
      <c r="AN44" s="7">
        <v>0</v>
      </c>
      <c r="AO44" s="7">
        <v>0</v>
      </c>
      <c r="AP44" s="7">
        <v>7425.4549081351779</v>
      </c>
      <c r="AQ44" s="7">
        <v>0</v>
      </c>
      <c r="AR44" s="7">
        <v>0</v>
      </c>
      <c r="AS44" s="7">
        <v>0</v>
      </c>
      <c r="AT44" s="7">
        <v>0</v>
      </c>
      <c r="AU44" s="7">
        <v>0</v>
      </c>
      <c r="AV44" s="7">
        <v>8262.6462194486467</v>
      </c>
      <c r="AW44" s="7">
        <v>0</v>
      </c>
      <c r="AX44" s="7">
        <v>9498.7699726253213</v>
      </c>
    </row>
    <row r="45" spans="6:50" x14ac:dyDescent="0.45">
      <c r="F45" s="3">
        <v>44</v>
      </c>
      <c r="G45" s="7">
        <v>0</v>
      </c>
      <c r="H45" s="7">
        <v>0</v>
      </c>
      <c r="I45" s="7">
        <v>0</v>
      </c>
      <c r="J45" s="7">
        <v>0</v>
      </c>
      <c r="K45" s="7">
        <v>0</v>
      </c>
      <c r="L45" s="7">
        <v>0</v>
      </c>
      <c r="M45" s="7">
        <v>0</v>
      </c>
      <c r="N45" s="7">
        <v>0</v>
      </c>
      <c r="O45" s="7">
        <v>0</v>
      </c>
      <c r="P45" s="7">
        <v>0</v>
      </c>
      <c r="Q45" s="7">
        <v>0</v>
      </c>
      <c r="R45" s="7">
        <v>0</v>
      </c>
      <c r="S45" s="7">
        <v>0</v>
      </c>
      <c r="T45" s="7">
        <v>0</v>
      </c>
      <c r="U45" s="7">
        <v>0</v>
      </c>
      <c r="V45" s="7">
        <v>0</v>
      </c>
      <c r="W45" s="7">
        <v>0</v>
      </c>
      <c r="X45" s="7">
        <v>0</v>
      </c>
      <c r="Y45" s="7">
        <v>0</v>
      </c>
      <c r="Z45" s="7">
        <v>0</v>
      </c>
      <c r="AA45" s="7">
        <v>0</v>
      </c>
      <c r="AB45" s="7">
        <v>0</v>
      </c>
      <c r="AC45" s="7">
        <v>0</v>
      </c>
      <c r="AD45" s="7">
        <v>0</v>
      </c>
      <c r="AE45" s="7">
        <v>0</v>
      </c>
      <c r="AF45" s="7">
        <v>0</v>
      </c>
      <c r="AG45" s="7">
        <v>0</v>
      </c>
      <c r="AH45" s="7">
        <v>0</v>
      </c>
      <c r="AI45" s="7">
        <v>0</v>
      </c>
      <c r="AJ45" s="7">
        <v>0</v>
      </c>
      <c r="AK45" s="7">
        <v>0</v>
      </c>
      <c r="AL45" s="7">
        <v>0</v>
      </c>
      <c r="AM45" s="7">
        <v>0</v>
      </c>
      <c r="AN45" s="7">
        <v>0</v>
      </c>
      <c r="AO45" s="7">
        <v>0</v>
      </c>
      <c r="AP45" s="7">
        <v>0</v>
      </c>
      <c r="AQ45" s="7">
        <v>2291.2092967039634</v>
      </c>
      <c r="AR45" s="7">
        <v>0</v>
      </c>
      <c r="AS45" s="7">
        <v>6788.4143736079914</v>
      </c>
      <c r="AT45" s="7">
        <v>0</v>
      </c>
      <c r="AU45" s="7">
        <v>1214.2081835106751</v>
      </c>
      <c r="AV45" s="7">
        <v>0</v>
      </c>
      <c r="AW45" s="7">
        <v>9542.7083694561115</v>
      </c>
      <c r="AX45" s="7">
        <v>0</v>
      </c>
    </row>
  </sheetData>
  <mergeCells count="2">
    <mergeCell ref="A17:D20"/>
    <mergeCell ref="A22:D29"/>
  </mergeCells>
  <conditionalFormatting sqref="G2:AX45">
    <cfRule type="cellIs" dxfId="0" priority="1" operator="greaterThan">
      <formula>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SClearAsgInc">
                <anchor moveWithCells="1" sizeWithCells="1">
                  <from>
                    <xdr:col>0</xdr:col>
                    <xdr:colOff>0</xdr:colOff>
                    <xdr:row>7</xdr:row>
                    <xdr:rowOff>14288</xdr:rowOff>
                  </from>
                  <to>
                    <xdr:col>3</xdr:col>
                    <xdr:colOff>381000</xdr:colOff>
                    <xdr:row>9</xdr:row>
                    <xdr:rowOff>157163</xdr:rowOff>
                  </to>
                </anchor>
              </controlPr>
            </control>
          </mc:Choice>
        </mc:AlternateContent>
        <mc:AlternateContent xmlns:mc="http://schemas.openxmlformats.org/markup-compatibility/2006">
          <mc:Choice Requires="x14">
            <control shapeId="11266" r:id="rId4" name="Button 2">
              <controlPr defaultSize="0" print="0" autoFill="0" autoPict="0" macro="[0]!SINC">
                <anchor moveWithCells="1" sizeWithCells="1">
                  <from>
                    <xdr:col>0</xdr:col>
                    <xdr:colOff>0</xdr:colOff>
                    <xdr:row>11</xdr:row>
                    <xdr:rowOff>14288</xdr:rowOff>
                  </from>
                  <to>
                    <xdr:col>3</xdr:col>
                    <xdr:colOff>381000</xdr:colOff>
                    <xdr:row>13</xdr:row>
                    <xdr:rowOff>171450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4D9A7-A994-48B1-B5E9-AE7EA3C99E4A}">
  <sheetPr codeName="NetGraph"/>
  <dimension ref="A1:N133"/>
  <sheetViews>
    <sheetView zoomScale="55" zoomScaleNormal="55" workbookViewId="0">
      <selection activeCell="E9" sqref="E9"/>
    </sheetView>
  </sheetViews>
  <sheetFormatPr defaultColWidth="8.73046875" defaultRowHeight="14.25" x14ac:dyDescent="0.45"/>
  <cols>
    <col min="1" max="1" width="10.33203125" style="1" customWidth="1"/>
    <col min="2" max="2" width="9" style="1" bestFit="1" customWidth="1"/>
    <col min="3" max="3" width="5.9296875" style="1" bestFit="1" customWidth="1"/>
    <col min="4" max="4" width="5.73046875" style="1" bestFit="1" customWidth="1"/>
    <col min="5" max="5" width="8.73046875" style="1"/>
    <col min="6" max="6" width="9.33203125" style="1" bestFit="1" customWidth="1"/>
    <col min="7" max="7" width="6.73046875" style="1" bestFit="1" customWidth="1"/>
    <col min="8" max="8" width="9.59765625" style="1" bestFit="1" customWidth="1"/>
    <col min="9" max="9" width="7.33203125" style="1" bestFit="1" customWidth="1"/>
    <col min="10" max="16384" width="8.73046875" style="1"/>
  </cols>
  <sheetData>
    <row r="1" spans="1:14" x14ac:dyDescent="0.45">
      <c r="A1" s="4" t="s">
        <v>295</v>
      </c>
      <c r="B1" s="4" t="s">
        <v>296</v>
      </c>
      <c r="C1" s="4" t="s">
        <v>297</v>
      </c>
      <c r="D1" s="4" t="s">
        <v>298</v>
      </c>
      <c r="F1" s="4" t="s">
        <v>291</v>
      </c>
      <c r="G1" s="4" t="s">
        <v>51</v>
      </c>
      <c r="H1" s="4" t="s">
        <v>53</v>
      </c>
      <c r="I1" s="4" t="s">
        <v>55</v>
      </c>
      <c r="J1" s="4" t="s">
        <v>64</v>
      </c>
      <c r="K1" s="4" t="s">
        <v>66</v>
      </c>
      <c r="L1" s="4" t="s">
        <v>252</v>
      </c>
      <c r="M1" s="4" t="s">
        <v>254</v>
      </c>
      <c r="N1" s="4" t="s">
        <v>293</v>
      </c>
    </row>
    <row r="2" spans="1:14" x14ac:dyDescent="0.45">
      <c r="A2" s="5" t="s">
        <v>291</v>
      </c>
      <c r="B2" s="1" t="s">
        <v>17</v>
      </c>
      <c r="C2" s="1" t="s">
        <v>299</v>
      </c>
      <c r="F2" s="1" t="str">
        <f>"Link" &amp; " " &amp; G2</f>
        <v>Link 1</v>
      </c>
      <c r="G2" s="1">
        <f>UpLinks!F2</f>
        <v>1</v>
      </c>
      <c r="H2" s="1">
        <f>UpLinks!G2</f>
        <v>1</v>
      </c>
      <c r="I2" s="1">
        <f>UpLinks!H2</f>
        <v>9</v>
      </c>
      <c r="J2" s="1">
        <f>UpLinks!I2</f>
        <v>4000</v>
      </c>
      <c r="K2" s="6">
        <f>UpLinks!J2</f>
        <v>2.5</v>
      </c>
      <c r="L2" s="7">
        <f>UpLinks!K2</f>
        <v>0</v>
      </c>
      <c r="M2" s="6">
        <f>UpLinks!L2</f>
        <v>2.5</v>
      </c>
      <c r="N2" s="6">
        <f>L2/J2</f>
        <v>0</v>
      </c>
    </row>
    <row r="3" spans="1:14" x14ac:dyDescent="0.45">
      <c r="A3" s="5" t="s">
        <v>51</v>
      </c>
      <c r="B3" s="1" t="s">
        <v>17</v>
      </c>
      <c r="C3" s="1" t="s">
        <v>300</v>
      </c>
      <c r="F3" s="1" t="str">
        <f t="shared" ref="F3:F66" si="0">"Link" &amp; " " &amp; G3</f>
        <v>Link 2</v>
      </c>
      <c r="G3" s="1">
        <f>UpLinks!F3</f>
        <v>2</v>
      </c>
      <c r="H3" s="1">
        <f>UpLinks!G3</f>
        <v>2</v>
      </c>
      <c r="I3" s="1">
        <f>UpLinks!H3</f>
        <v>10</v>
      </c>
      <c r="J3" s="1">
        <f>UpLinks!I3</f>
        <v>3500</v>
      </c>
      <c r="K3" s="6">
        <f>UpLinks!J3</f>
        <v>2.7272727272727275</v>
      </c>
      <c r="L3" s="7">
        <f>UpLinks!K3</f>
        <v>0</v>
      </c>
      <c r="M3" s="6">
        <f>UpLinks!L3</f>
        <v>2.7272727272727275</v>
      </c>
      <c r="N3" s="6">
        <f t="shared" ref="N3:N66" si="1">L3/J3</f>
        <v>0</v>
      </c>
    </row>
    <row r="4" spans="1:14" x14ac:dyDescent="0.45">
      <c r="A4" s="5" t="s">
        <v>53</v>
      </c>
      <c r="B4" s="1" t="s">
        <v>17</v>
      </c>
      <c r="C4" s="1" t="s">
        <v>301</v>
      </c>
      <c r="F4" s="1" t="str">
        <f t="shared" si="0"/>
        <v>Link 3</v>
      </c>
      <c r="G4" s="1">
        <f>UpLinks!F4</f>
        <v>3</v>
      </c>
      <c r="H4" s="1">
        <f>UpLinks!G4</f>
        <v>3</v>
      </c>
      <c r="I4" s="1">
        <f>UpLinks!H4</f>
        <v>14</v>
      </c>
      <c r="J4" s="1">
        <f>UpLinks!I4</f>
        <v>3500</v>
      </c>
      <c r="K4" s="6">
        <f>UpLinks!J4</f>
        <v>2.7272727272727275</v>
      </c>
      <c r="L4" s="7">
        <f>UpLinks!K4</f>
        <v>0</v>
      </c>
      <c r="M4" s="6">
        <f>UpLinks!L4</f>
        <v>2.7272727272727275</v>
      </c>
      <c r="N4" s="6">
        <f t="shared" si="1"/>
        <v>0</v>
      </c>
    </row>
    <row r="5" spans="1:14" x14ac:dyDescent="0.45">
      <c r="A5" s="5" t="s">
        <v>55</v>
      </c>
      <c r="B5" s="1" t="s">
        <v>17</v>
      </c>
      <c r="C5" s="1" t="s">
        <v>302</v>
      </c>
      <c r="F5" s="1" t="str">
        <f t="shared" si="0"/>
        <v>Link 4</v>
      </c>
      <c r="G5" s="1">
        <f>UpLinks!F5</f>
        <v>4</v>
      </c>
      <c r="H5" s="1">
        <f>UpLinks!G5</f>
        <v>4</v>
      </c>
      <c r="I5" s="1">
        <f>UpLinks!H5</f>
        <v>16</v>
      </c>
      <c r="J5" s="1">
        <f>UpLinks!I5</f>
        <v>3500</v>
      </c>
      <c r="K5" s="6">
        <f>UpLinks!J5</f>
        <v>2.7272727272727275</v>
      </c>
      <c r="L5" s="7">
        <f>UpLinks!K5</f>
        <v>0</v>
      </c>
      <c r="M5" s="6">
        <f>UpLinks!L5</f>
        <v>2.7272727272727275</v>
      </c>
      <c r="N5" s="6">
        <f t="shared" si="1"/>
        <v>0</v>
      </c>
    </row>
    <row r="6" spans="1:14" x14ac:dyDescent="0.45">
      <c r="A6" s="5" t="s">
        <v>64</v>
      </c>
      <c r="B6" s="1" t="s">
        <v>17</v>
      </c>
      <c r="C6" s="1" t="s">
        <v>303</v>
      </c>
      <c r="F6" s="1" t="str">
        <f t="shared" si="0"/>
        <v>Link 5</v>
      </c>
      <c r="G6" s="1">
        <f>UpLinks!F6</f>
        <v>5</v>
      </c>
      <c r="H6" s="1">
        <f>UpLinks!G6</f>
        <v>5</v>
      </c>
      <c r="I6" s="1">
        <f>UpLinks!H6</f>
        <v>18</v>
      </c>
      <c r="J6" s="1">
        <f>UpLinks!I6</f>
        <v>3500</v>
      </c>
      <c r="K6" s="6">
        <f>UpLinks!J6</f>
        <v>2.7272727272727275</v>
      </c>
      <c r="L6" s="7">
        <f>UpLinks!K6</f>
        <v>0</v>
      </c>
      <c r="M6" s="6">
        <f>UpLinks!L6</f>
        <v>2.7272727272727275</v>
      </c>
      <c r="N6" s="6">
        <f t="shared" si="1"/>
        <v>0</v>
      </c>
    </row>
    <row r="7" spans="1:14" x14ac:dyDescent="0.45">
      <c r="A7" s="5" t="s">
        <v>66</v>
      </c>
      <c r="B7" s="1" t="s">
        <v>17</v>
      </c>
      <c r="C7" s="1" t="s">
        <v>304</v>
      </c>
      <c r="F7" s="1" t="str">
        <f t="shared" si="0"/>
        <v>Link 6</v>
      </c>
      <c r="G7" s="1">
        <f>UpLinks!F7</f>
        <v>6</v>
      </c>
      <c r="H7" s="1">
        <f>UpLinks!G7</f>
        <v>6</v>
      </c>
      <c r="I7" s="1">
        <f>UpLinks!H7</f>
        <v>19</v>
      </c>
      <c r="J7" s="1">
        <f>UpLinks!I7</f>
        <v>4000</v>
      </c>
      <c r="K7" s="6">
        <f>UpLinks!J7</f>
        <v>2.5</v>
      </c>
      <c r="L7" s="7">
        <f>UpLinks!K7</f>
        <v>0</v>
      </c>
      <c r="M7" s="6">
        <f>UpLinks!L7</f>
        <v>2.5</v>
      </c>
      <c r="N7" s="6">
        <f t="shared" si="1"/>
        <v>0</v>
      </c>
    </row>
    <row r="8" spans="1:14" x14ac:dyDescent="0.45">
      <c r="A8" s="5" t="s">
        <v>252</v>
      </c>
      <c r="B8" s="1" t="s">
        <v>17</v>
      </c>
      <c r="C8" s="1" t="s">
        <v>305</v>
      </c>
      <c r="F8" s="1" t="str">
        <f t="shared" si="0"/>
        <v>Link 7</v>
      </c>
      <c r="G8" s="1">
        <f>UpLinks!F8</f>
        <v>7</v>
      </c>
      <c r="H8" s="1">
        <f>UpLinks!G8</f>
        <v>7</v>
      </c>
      <c r="I8" s="1">
        <f>UpLinks!H8</f>
        <v>21</v>
      </c>
      <c r="J8" s="1">
        <f>UpLinks!I8</f>
        <v>3500</v>
      </c>
      <c r="K8" s="6">
        <f>UpLinks!J8</f>
        <v>2.7272727272727275</v>
      </c>
      <c r="L8" s="7">
        <f>UpLinks!K8</f>
        <v>0</v>
      </c>
      <c r="M8" s="6">
        <f>UpLinks!L8</f>
        <v>2.7272727272727275</v>
      </c>
      <c r="N8" s="6">
        <f t="shared" si="1"/>
        <v>0</v>
      </c>
    </row>
    <row r="9" spans="1:14" x14ac:dyDescent="0.45">
      <c r="A9" s="5" t="s">
        <v>254</v>
      </c>
      <c r="B9" s="1" t="s">
        <v>17</v>
      </c>
      <c r="C9" s="1" t="s">
        <v>306</v>
      </c>
      <c r="F9" s="1" t="str">
        <f t="shared" si="0"/>
        <v>Link 8</v>
      </c>
      <c r="G9" s="1">
        <f>UpLinks!F9</f>
        <v>8</v>
      </c>
      <c r="H9" s="1">
        <f>UpLinks!G9</f>
        <v>8</v>
      </c>
      <c r="I9" s="1">
        <f>UpLinks!H9</f>
        <v>24</v>
      </c>
      <c r="J9" s="1">
        <f>UpLinks!I9</f>
        <v>3500</v>
      </c>
      <c r="K9" s="6">
        <f>UpLinks!J9</f>
        <v>2.7272727272727275</v>
      </c>
      <c r="L9" s="7">
        <f>UpLinks!K9</f>
        <v>0</v>
      </c>
      <c r="M9" s="6">
        <f>UpLinks!L9</f>
        <v>2.7272727272727275</v>
      </c>
      <c r="N9" s="6">
        <f t="shared" si="1"/>
        <v>0</v>
      </c>
    </row>
    <row r="10" spans="1:14" x14ac:dyDescent="0.45">
      <c r="A10" s="5" t="s">
        <v>293</v>
      </c>
      <c r="B10" s="1" t="s">
        <v>17</v>
      </c>
      <c r="C10" s="1" t="s">
        <v>307</v>
      </c>
      <c r="F10" s="1" t="str">
        <f t="shared" si="0"/>
        <v>Link 9</v>
      </c>
      <c r="G10" s="1">
        <f>UpLinks!F10</f>
        <v>9</v>
      </c>
      <c r="H10" s="1">
        <f>UpLinks!G10</f>
        <v>9</v>
      </c>
      <c r="I10" s="1">
        <f>UpLinks!H10</f>
        <v>1</v>
      </c>
      <c r="J10" s="1">
        <f>UpLinks!I10</f>
        <v>4000</v>
      </c>
      <c r="K10" s="6">
        <f>UpLinks!J10</f>
        <v>2.5</v>
      </c>
      <c r="L10" s="7">
        <f>UpLinks!K10</f>
        <v>0</v>
      </c>
      <c r="M10" s="6">
        <f>UpLinks!L10</f>
        <v>2.5</v>
      </c>
      <c r="N10" s="6">
        <f t="shared" si="1"/>
        <v>0</v>
      </c>
    </row>
    <row r="11" spans="1:14" x14ac:dyDescent="0.45">
      <c r="F11" s="1" t="str">
        <f t="shared" si="0"/>
        <v>Link 10</v>
      </c>
      <c r="G11" s="1">
        <f>UpLinks!F11</f>
        <v>10</v>
      </c>
      <c r="H11" s="1">
        <f>UpLinks!G11</f>
        <v>9</v>
      </c>
      <c r="I11" s="1">
        <f>UpLinks!H11</f>
        <v>10</v>
      </c>
      <c r="J11" s="1">
        <f>UpLinks!I11</f>
        <v>4000</v>
      </c>
      <c r="K11" s="6">
        <f>UpLinks!J11</f>
        <v>1</v>
      </c>
      <c r="L11" s="7">
        <f>UpLinks!K11</f>
        <v>5814.0296842642265</v>
      </c>
      <c r="M11" s="6">
        <f>UpLinks!L11</f>
        <v>1.6695149404545244</v>
      </c>
      <c r="N11" s="6">
        <f t="shared" si="1"/>
        <v>1.4535074210660566</v>
      </c>
    </row>
    <row r="12" spans="1:14" x14ac:dyDescent="0.45">
      <c r="F12" s="1" t="str">
        <f t="shared" si="0"/>
        <v>Link 11</v>
      </c>
      <c r="G12" s="1">
        <f>UpLinks!F12</f>
        <v>11</v>
      </c>
      <c r="H12" s="1">
        <f>UpLinks!G12</f>
        <v>9</v>
      </c>
      <c r="I12" s="1">
        <f>UpLinks!H12</f>
        <v>24</v>
      </c>
      <c r="J12" s="1">
        <f>UpLinks!I12</f>
        <v>4000</v>
      </c>
      <c r="K12" s="6">
        <f>UpLinks!J12</f>
        <v>3</v>
      </c>
      <c r="L12" s="7">
        <f>UpLinks!K12</f>
        <v>7280.5395318776846</v>
      </c>
      <c r="M12" s="6">
        <f>UpLinks!L12</f>
        <v>7.9388610267962401</v>
      </c>
      <c r="N12" s="6">
        <f t="shared" si="1"/>
        <v>1.8201348829694211</v>
      </c>
    </row>
    <row r="13" spans="1:14" x14ac:dyDescent="0.45">
      <c r="F13" s="1" t="str">
        <f t="shared" si="0"/>
        <v>Link 12</v>
      </c>
      <c r="G13" s="1">
        <f>UpLinks!F13</f>
        <v>12</v>
      </c>
      <c r="H13" s="1">
        <f>UpLinks!G13</f>
        <v>10</v>
      </c>
      <c r="I13" s="1">
        <f>UpLinks!H13</f>
        <v>2</v>
      </c>
      <c r="J13" s="1">
        <f>UpLinks!I13</f>
        <v>3500</v>
      </c>
      <c r="K13" s="6">
        <f>UpLinks!J13</f>
        <v>2.7272727272727275</v>
      </c>
      <c r="L13" s="7">
        <f>UpLinks!K13</f>
        <v>0</v>
      </c>
      <c r="M13" s="6">
        <f>UpLinks!L13</f>
        <v>2.7272727272727275</v>
      </c>
      <c r="N13" s="6">
        <f t="shared" si="1"/>
        <v>0</v>
      </c>
    </row>
    <row r="14" spans="1:14" x14ac:dyDescent="0.45">
      <c r="F14" s="1" t="str">
        <f t="shared" si="0"/>
        <v>Link 13</v>
      </c>
      <c r="G14" s="1">
        <f>UpLinks!F14</f>
        <v>13</v>
      </c>
      <c r="H14" s="1">
        <f>UpLinks!G14</f>
        <v>10</v>
      </c>
      <c r="I14" s="1">
        <f>UpLinks!H14</f>
        <v>9</v>
      </c>
      <c r="J14" s="1">
        <f>UpLinks!I14</f>
        <v>4000</v>
      </c>
      <c r="K14" s="6">
        <f>UpLinks!J14</f>
        <v>1</v>
      </c>
      <c r="L14" s="7">
        <f>UpLinks!K14</f>
        <v>5969.1006884366698</v>
      </c>
      <c r="M14" s="6">
        <f>UpLinks!L14</f>
        <v>1.7438526469441755</v>
      </c>
      <c r="N14" s="6">
        <f t="shared" si="1"/>
        <v>1.4922751721091674</v>
      </c>
    </row>
    <row r="15" spans="1:14" x14ac:dyDescent="0.45">
      <c r="F15" s="1" t="str">
        <f t="shared" si="0"/>
        <v>Link 14</v>
      </c>
      <c r="G15" s="1">
        <f>UpLinks!F15</f>
        <v>14</v>
      </c>
      <c r="H15" s="1">
        <f>UpLinks!G15</f>
        <v>10</v>
      </c>
      <c r="I15" s="1">
        <f>UpLinks!H15</f>
        <v>11</v>
      </c>
      <c r="J15" s="1">
        <f>UpLinks!I15</f>
        <v>4000</v>
      </c>
      <c r="K15" s="6">
        <f>UpLinks!J15</f>
        <v>2.5</v>
      </c>
      <c r="L15" s="7">
        <f>UpLinks!K15</f>
        <v>5611.5796480647596</v>
      </c>
      <c r="M15" s="6">
        <f>UpLinks!L15</f>
        <v>3.9525524669064858</v>
      </c>
      <c r="N15" s="6">
        <f t="shared" si="1"/>
        <v>1.40289491201619</v>
      </c>
    </row>
    <row r="16" spans="1:14" x14ac:dyDescent="0.45">
      <c r="F16" s="1" t="str">
        <f t="shared" si="0"/>
        <v>Link 15</v>
      </c>
      <c r="G16" s="1">
        <f>UpLinks!F16</f>
        <v>15</v>
      </c>
      <c r="H16" s="1">
        <f>UpLinks!G16</f>
        <v>10</v>
      </c>
      <c r="I16" s="1">
        <f>UpLinks!H16</f>
        <v>25</v>
      </c>
      <c r="J16" s="1">
        <f>UpLinks!I16</f>
        <v>2000</v>
      </c>
      <c r="K16" s="6">
        <f>UpLinks!J16</f>
        <v>6</v>
      </c>
      <c r="L16" s="7">
        <f>UpLinks!K16</f>
        <v>202.45003619946678</v>
      </c>
      <c r="M16" s="6">
        <f>UpLinks!L16</f>
        <v>6.0000944917651351</v>
      </c>
      <c r="N16" s="6">
        <f t="shared" si="1"/>
        <v>0.10122501809973339</v>
      </c>
    </row>
    <row r="17" spans="6:14" x14ac:dyDescent="0.45">
      <c r="F17" s="1" t="str">
        <f t="shared" si="0"/>
        <v>Link 16</v>
      </c>
      <c r="G17" s="1">
        <f>UpLinks!F17</f>
        <v>16</v>
      </c>
      <c r="H17" s="1">
        <f>UpLinks!G17</f>
        <v>11</v>
      </c>
      <c r="I17" s="1">
        <f>UpLinks!H17</f>
        <v>10</v>
      </c>
      <c r="J17" s="1">
        <f>UpLinks!I17</f>
        <v>4000</v>
      </c>
      <c r="K17" s="6">
        <f>UpLinks!J17</f>
        <v>2.5</v>
      </c>
      <c r="L17" s="7">
        <f>UpLinks!K17</f>
        <v>5565.8268448476565</v>
      </c>
      <c r="M17" s="6">
        <f>UpLinks!L17</f>
        <v>3.9057563920033775</v>
      </c>
      <c r="N17" s="6">
        <f t="shared" si="1"/>
        <v>1.3914567112119141</v>
      </c>
    </row>
    <row r="18" spans="6:14" x14ac:dyDescent="0.45">
      <c r="F18" s="1" t="str">
        <f t="shared" si="0"/>
        <v>Link 17</v>
      </c>
      <c r="G18" s="1">
        <f>UpLinks!F18</f>
        <v>17</v>
      </c>
      <c r="H18" s="1">
        <f>UpLinks!G18</f>
        <v>11</v>
      </c>
      <c r="I18" s="1">
        <f>UpLinks!H18</f>
        <v>12</v>
      </c>
      <c r="J18" s="1">
        <f>UpLinks!I18</f>
        <v>4000</v>
      </c>
      <c r="K18" s="6">
        <f>UpLinks!J18</f>
        <v>3</v>
      </c>
      <c r="L18" s="7">
        <f>UpLinks!K18</f>
        <v>6889.6945593830242</v>
      </c>
      <c r="M18" s="6">
        <f>UpLinks!L18</f>
        <v>6.960704333551142</v>
      </c>
      <c r="N18" s="6">
        <f t="shared" si="1"/>
        <v>1.722423639845756</v>
      </c>
    </row>
    <row r="19" spans="6:14" x14ac:dyDescent="0.45">
      <c r="F19" s="1" t="str">
        <f t="shared" si="0"/>
        <v>Link 18</v>
      </c>
      <c r="G19" s="1">
        <f>UpLinks!F19</f>
        <v>18</v>
      </c>
      <c r="H19" s="1">
        <f>UpLinks!G19</f>
        <v>11</v>
      </c>
      <c r="I19" s="1">
        <f>UpLinks!H19</f>
        <v>26</v>
      </c>
      <c r="J19" s="1">
        <f>UpLinks!I19</f>
        <v>2000</v>
      </c>
      <c r="K19" s="6">
        <f>UpLinks!J19</f>
        <v>7.7142857142857135</v>
      </c>
      <c r="L19" s="7">
        <f>UpLinks!K19</f>
        <v>1285.3878043168581</v>
      </c>
      <c r="M19" s="6">
        <f>UpLinks!L19</f>
        <v>7.9117114187427253</v>
      </c>
      <c r="N19" s="6">
        <f t="shared" si="1"/>
        <v>0.64269390215842903</v>
      </c>
    </row>
    <row r="20" spans="6:14" x14ac:dyDescent="0.45">
      <c r="F20" s="1" t="str">
        <f t="shared" si="0"/>
        <v>Link 19</v>
      </c>
      <c r="G20" s="1">
        <f>UpLinks!F20</f>
        <v>19</v>
      </c>
      <c r="H20" s="1">
        <f>UpLinks!G20</f>
        <v>12</v>
      </c>
      <c r="I20" s="1">
        <f>UpLinks!H20</f>
        <v>11</v>
      </c>
      <c r="J20" s="1">
        <f>UpLinks!I20</f>
        <v>4000</v>
      </c>
      <c r="K20" s="6">
        <f>UpLinks!J20</f>
        <v>3</v>
      </c>
      <c r="L20" s="7">
        <f>UpLinks!K20</f>
        <v>6851.2146491645144</v>
      </c>
      <c r="M20" s="6">
        <f>UpLinks!L20</f>
        <v>6.8729585171859773</v>
      </c>
      <c r="N20" s="6">
        <f t="shared" si="1"/>
        <v>1.7128036622911287</v>
      </c>
    </row>
    <row r="21" spans="6:14" x14ac:dyDescent="0.45">
      <c r="F21" s="1" t="str">
        <f t="shared" si="0"/>
        <v>Link 20</v>
      </c>
      <c r="G21" s="1">
        <f>UpLinks!F21</f>
        <v>20</v>
      </c>
      <c r="H21" s="1">
        <f>UpLinks!G21</f>
        <v>12</v>
      </c>
      <c r="I21" s="1">
        <f>UpLinks!H21</f>
        <v>13</v>
      </c>
      <c r="J21" s="1">
        <f>UpLinks!I21</f>
        <v>4000</v>
      </c>
      <c r="K21" s="6">
        <f>UpLinks!J21</f>
        <v>2.5</v>
      </c>
      <c r="L21" s="7">
        <f>UpLinks!K21</f>
        <v>7704.217411088388</v>
      </c>
      <c r="M21" s="6">
        <f>UpLinks!L21</f>
        <v>7.6606620786805433</v>
      </c>
      <c r="N21" s="6">
        <f t="shared" si="1"/>
        <v>1.926054352772097</v>
      </c>
    </row>
    <row r="22" spans="6:14" x14ac:dyDescent="0.45">
      <c r="F22" s="1" t="str">
        <f t="shared" si="0"/>
        <v>Link 21</v>
      </c>
      <c r="G22" s="1">
        <f>UpLinks!F22</f>
        <v>21</v>
      </c>
      <c r="H22" s="1">
        <f>UpLinks!G22</f>
        <v>12</v>
      </c>
      <c r="I22" s="1">
        <f>UpLinks!H22</f>
        <v>27</v>
      </c>
      <c r="J22" s="1">
        <f>UpLinks!I22</f>
        <v>3000</v>
      </c>
      <c r="K22" s="6">
        <f>UpLinks!J22</f>
        <v>5.3333333333333339</v>
      </c>
      <c r="L22" s="7">
        <f>UpLinks!K22</f>
        <v>5301.4065003989754</v>
      </c>
      <c r="M22" s="6">
        <f>UpLinks!L22</f>
        <v>13.134676698387377</v>
      </c>
      <c r="N22" s="6">
        <f t="shared" si="1"/>
        <v>1.7671355001329918</v>
      </c>
    </row>
    <row r="23" spans="6:14" x14ac:dyDescent="0.45">
      <c r="F23" s="1" t="str">
        <f t="shared" si="0"/>
        <v>Link 22</v>
      </c>
      <c r="G23" s="1">
        <f>UpLinks!F23</f>
        <v>22</v>
      </c>
      <c r="H23" s="1">
        <f>UpLinks!G23</f>
        <v>13</v>
      </c>
      <c r="I23" s="1">
        <f>UpLinks!H23</f>
        <v>12</v>
      </c>
      <c r="J23" s="1">
        <f>UpLinks!I23</f>
        <v>4000</v>
      </c>
      <c r="K23" s="6">
        <f>UpLinks!J23</f>
        <v>2.5</v>
      </c>
      <c r="L23" s="7">
        <f>UpLinks!K23</f>
        <v>7554.4008797510605</v>
      </c>
      <c r="M23" s="6">
        <f>UpLinks!L23</f>
        <v>7.2708022063762474</v>
      </c>
      <c r="N23" s="6">
        <f t="shared" si="1"/>
        <v>1.8886002199377652</v>
      </c>
    </row>
    <row r="24" spans="6:14" x14ac:dyDescent="0.45">
      <c r="F24" s="1" t="str">
        <f t="shared" si="0"/>
        <v>Link 23</v>
      </c>
      <c r="G24" s="1">
        <f>UpLinks!F24</f>
        <v>23</v>
      </c>
      <c r="H24" s="1">
        <f>UpLinks!G24</f>
        <v>13</v>
      </c>
      <c r="I24" s="1">
        <f>UpLinks!H24</f>
        <v>14</v>
      </c>
      <c r="J24" s="1">
        <f>UpLinks!I24</f>
        <v>4000</v>
      </c>
      <c r="K24" s="6">
        <f>UpLinks!J24</f>
        <v>3.5</v>
      </c>
      <c r="L24" s="7">
        <f>UpLinks!K24</f>
        <v>7566.2240764434009</v>
      </c>
      <c r="M24" s="6">
        <f>UpLinks!L24</f>
        <v>10.221034641307527</v>
      </c>
      <c r="N24" s="6">
        <f t="shared" si="1"/>
        <v>1.8915560191108503</v>
      </c>
    </row>
    <row r="25" spans="6:14" x14ac:dyDescent="0.45">
      <c r="F25" s="1" t="str">
        <f t="shared" si="0"/>
        <v>Link 24</v>
      </c>
      <c r="G25" s="1">
        <f>UpLinks!F25</f>
        <v>24</v>
      </c>
      <c r="H25" s="1">
        <f>UpLinks!G25</f>
        <v>13</v>
      </c>
      <c r="I25" s="1">
        <f>UpLinks!H25</f>
        <v>29</v>
      </c>
      <c r="J25" s="1">
        <f>UpLinks!I25</f>
        <v>2000</v>
      </c>
      <c r="K25" s="6">
        <f>UpLinks!J25</f>
        <v>6.8571428571428568</v>
      </c>
      <c r="L25" s="7">
        <f>UpLinks!K25</f>
        <v>3848.2909089013942</v>
      </c>
      <c r="M25" s="6">
        <f>UpLinks!L25</f>
        <v>20.956069566963794</v>
      </c>
      <c r="N25" s="6">
        <f t="shared" si="1"/>
        <v>1.9241454544506971</v>
      </c>
    </row>
    <row r="26" spans="6:14" x14ac:dyDescent="0.45">
      <c r="F26" s="1" t="str">
        <f t="shared" si="0"/>
        <v>Link 25</v>
      </c>
      <c r="G26" s="1">
        <f>UpLinks!F26</f>
        <v>25</v>
      </c>
      <c r="H26" s="1">
        <f>UpLinks!G26</f>
        <v>14</v>
      </c>
      <c r="I26" s="1">
        <f>UpLinks!H26</f>
        <v>3</v>
      </c>
      <c r="J26" s="1">
        <f>UpLinks!I26</f>
        <v>3500</v>
      </c>
      <c r="K26" s="6">
        <f>UpLinks!J26</f>
        <v>2.7272727272727275</v>
      </c>
      <c r="L26" s="7">
        <f>UpLinks!K26</f>
        <v>0</v>
      </c>
      <c r="M26" s="6">
        <f>UpLinks!L26</f>
        <v>2.7272727272727275</v>
      </c>
      <c r="N26" s="6">
        <f t="shared" si="1"/>
        <v>0</v>
      </c>
    </row>
    <row r="27" spans="6:14" x14ac:dyDescent="0.45">
      <c r="F27" s="1" t="str">
        <f t="shared" si="0"/>
        <v>Link 26</v>
      </c>
      <c r="G27" s="1">
        <f>UpLinks!F27</f>
        <v>26</v>
      </c>
      <c r="H27" s="1">
        <f>UpLinks!G27</f>
        <v>14</v>
      </c>
      <c r="I27" s="1">
        <f>UpLinks!H27</f>
        <v>13</v>
      </c>
      <c r="J27" s="1">
        <f>UpLinks!I27</f>
        <v>4000</v>
      </c>
      <c r="K27" s="6">
        <f>UpLinks!J27</f>
        <v>3.5</v>
      </c>
      <c r="L27" s="7">
        <f>UpLinks!K27</f>
        <v>7415.90732164975</v>
      </c>
      <c r="M27" s="6">
        <f>UpLinks!L27</f>
        <v>9.7026391048120164</v>
      </c>
      <c r="N27" s="6">
        <f t="shared" si="1"/>
        <v>1.8539768304124375</v>
      </c>
    </row>
    <row r="28" spans="6:14" x14ac:dyDescent="0.45">
      <c r="F28" s="1" t="str">
        <f t="shared" si="0"/>
        <v>Link 27</v>
      </c>
      <c r="G28" s="1">
        <f>UpLinks!F28</f>
        <v>27</v>
      </c>
      <c r="H28" s="1">
        <f>UpLinks!G28</f>
        <v>14</v>
      </c>
      <c r="I28" s="1">
        <f>UpLinks!H28</f>
        <v>15</v>
      </c>
      <c r="J28" s="1">
        <f>UpLinks!I28</f>
        <v>4000</v>
      </c>
      <c r="K28" s="6">
        <f>UpLinks!J28</f>
        <v>5.5</v>
      </c>
      <c r="L28" s="7">
        <f>UpLinks!K28</f>
        <v>3890.8415577602814</v>
      </c>
      <c r="M28" s="6">
        <f>UpLinks!L28</f>
        <v>6.2385640542394381</v>
      </c>
      <c r="N28" s="6">
        <f t="shared" si="1"/>
        <v>0.97271038944007038</v>
      </c>
    </row>
    <row r="29" spans="6:14" x14ac:dyDescent="0.45">
      <c r="F29" s="1" t="str">
        <f t="shared" si="0"/>
        <v>Link 28</v>
      </c>
      <c r="G29" s="1">
        <f>UpLinks!F29</f>
        <v>28</v>
      </c>
      <c r="H29" s="1">
        <f>UpLinks!G29</f>
        <v>14</v>
      </c>
      <c r="I29" s="1">
        <f>UpLinks!H29</f>
        <v>30</v>
      </c>
      <c r="J29" s="1">
        <f>UpLinks!I29</f>
        <v>2000</v>
      </c>
      <c r="K29" s="6">
        <f>UpLinks!J29</f>
        <v>6.8571428571428568</v>
      </c>
      <c r="L29" s="7">
        <f>UpLinks!K29</f>
        <v>3675.3825186831177</v>
      </c>
      <c r="M29" s="6">
        <f>UpLinks!L29</f>
        <v>18.587862490319679</v>
      </c>
      <c r="N29" s="6">
        <f t="shared" si="1"/>
        <v>1.8376912593415589</v>
      </c>
    </row>
    <row r="30" spans="6:14" x14ac:dyDescent="0.45">
      <c r="F30" s="1" t="str">
        <f t="shared" si="0"/>
        <v>Link 29</v>
      </c>
      <c r="G30" s="1">
        <f>UpLinks!F30</f>
        <v>29</v>
      </c>
      <c r="H30" s="1">
        <f>UpLinks!G30</f>
        <v>15</v>
      </c>
      <c r="I30" s="1">
        <f>UpLinks!H30</f>
        <v>14</v>
      </c>
      <c r="J30" s="1">
        <f>UpLinks!I30</f>
        <v>4000</v>
      </c>
      <c r="K30" s="6">
        <f>UpLinks!J30</f>
        <v>5.5</v>
      </c>
      <c r="L30" s="7">
        <f>UpLinks!K30</f>
        <v>3748.1108333669981</v>
      </c>
      <c r="M30" s="6">
        <f>UpLinks!L30</f>
        <v>6.1360096161474891</v>
      </c>
      <c r="N30" s="6">
        <f t="shared" si="1"/>
        <v>0.93702770834174953</v>
      </c>
    </row>
    <row r="31" spans="6:14" x14ac:dyDescent="0.45">
      <c r="F31" s="1" t="str">
        <f t="shared" si="0"/>
        <v>Link 30</v>
      </c>
      <c r="G31" s="1">
        <f>UpLinks!F31</f>
        <v>30</v>
      </c>
      <c r="H31" s="1">
        <f>UpLinks!G31</f>
        <v>15</v>
      </c>
      <c r="I31" s="1">
        <f>UpLinks!H31</f>
        <v>16</v>
      </c>
      <c r="J31" s="1">
        <f>UpLinks!I31</f>
        <v>4000</v>
      </c>
      <c r="K31" s="6">
        <f>UpLinks!J31</f>
        <v>2</v>
      </c>
      <c r="L31" s="7">
        <f>UpLinks!K31</f>
        <v>5170.4434254895568</v>
      </c>
      <c r="M31" s="6">
        <f>UpLinks!L31</f>
        <v>2.8375147247704908</v>
      </c>
      <c r="N31" s="6">
        <f t="shared" si="1"/>
        <v>1.2926108563723893</v>
      </c>
    </row>
    <row r="32" spans="6:14" x14ac:dyDescent="0.45">
      <c r="F32" s="1" t="str">
        <f t="shared" si="0"/>
        <v>Link 31</v>
      </c>
      <c r="G32" s="1">
        <f>UpLinks!F32</f>
        <v>31</v>
      </c>
      <c r="H32" s="1">
        <f>UpLinks!G32</f>
        <v>15</v>
      </c>
      <c r="I32" s="1">
        <f>UpLinks!H32</f>
        <v>30</v>
      </c>
      <c r="J32" s="1">
        <f>UpLinks!I32</f>
        <v>2000</v>
      </c>
      <c r="K32" s="6">
        <f>UpLinks!J32</f>
        <v>7.7142857142857135</v>
      </c>
      <c r="L32" s="7">
        <f>UpLinks!K32</f>
        <v>1693.7685186641158</v>
      </c>
      <c r="M32" s="6">
        <f>UpLinks!L32</f>
        <v>8.3095135359561585</v>
      </c>
      <c r="N32" s="6">
        <f t="shared" si="1"/>
        <v>0.84688425933205791</v>
      </c>
    </row>
    <row r="33" spans="6:14" x14ac:dyDescent="0.45">
      <c r="F33" s="1" t="str">
        <f t="shared" si="0"/>
        <v>Link 32</v>
      </c>
      <c r="G33" s="1">
        <f>UpLinks!F33</f>
        <v>32</v>
      </c>
      <c r="H33" s="1">
        <f>UpLinks!G33</f>
        <v>16</v>
      </c>
      <c r="I33" s="1">
        <f>UpLinks!H33</f>
        <v>4</v>
      </c>
      <c r="J33" s="1">
        <f>UpLinks!I33</f>
        <v>3500</v>
      </c>
      <c r="K33" s="6">
        <f>UpLinks!J33</f>
        <v>2.7272727272727275</v>
      </c>
      <c r="L33" s="7">
        <f>UpLinks!K33</f>
        <v>0</v>
      </c>
      <c r="M33" s="6">
        <f>UpLinks!L33</f>
        <v>2.7272727272727275</v>
      </c>
      <c r="N33" s="6">
        <f t="shared" si="1"/>
        <v>0</v>
      </c>
    </row>
    <row r="34" spans="6:14" x14ac:dyDescent="0.45">
      <c r="F34" s="1" t="str">
        <f t="shared" si="0"/>
        <v>Link 33</v>
      </c>
      <c r="G34" s="1">
        <f>UpLinks!F34</f>
        <v>33</v>
      </c>
      <c r="H34" s="1">
        <f>UpLinks!G34</f>
        <v>16</v>
      </c>
      <c r="I34" s="1">
        <f>UpLinks!H34</f>
        <v>15</v>
      </c>
      <c r="J34" s="1">
        <f>UpLinks!I34</f>
        <v>4000</v>
      </c>
      <c r="K34" s="6">
        <f>UpLinks!J34</f>
        <v>2</v>
      </c>
      <c r="L34" s="7">
        <f>UpLinks!K34</f>
        <v>5040.1304883463181</v>
      </c>
      <c r="M34" s="6">
        <f>UpLinks!L34</f>
        <v>2.7562204387680733</v>
      </c>
      <c r="N34" s="6">
        <f t="shared" si="1"/>
        <v>1.2600326220865796</v>
      </c>
    </row>
    <row r="35" spans="6:14" x14ac:dyDescent="0.45">
      <c r="F35" s="1" t="str">
        <f t="shared" si="0"/>
        <v>Link 34</v>
      </c>
      <c r="G35" s="1">
        <f>UpLinks!F35</f>
        <v>34</v>
      </c>
      <c r="H35" s="1">
        <f>UpLinks!G35</f>
        <v>16</v>
      </c>
      <c r="I35" s="1">
        <f>UpLinks!H35</f>
        <v>17</v>
      </c>
      <c r="J35" s="1">
        <f>UpLinks!I35</f>
        <v>4000</v>
      </c>
      <c r="K35" s="6">
        <f>UpLinks!J35</f>
        <v>4.5</v>
      </c>
      <c r="L35" s="7">
        <f>UpLinks!K35</f>
        <v>3965.4380236331945</v>
      </c>
      <c r="M35" s="6">
        <f>UpLinks!L35</f>
        <v>5.1519712934496047</v>
      </c>
      <c r="N35" s="6">
        <f t="shared" si="1"/>
        <v>0.99135950590829858</v>
      </c>
    </row>
    <row r="36" spans="6:14" x14ac:dyDescent="0.45">
      <c r="F36" s="1" t="str">
        <f t="shared" si="0"/>
        <v>Link 35</v>
      </c>
      <c r="G36" s="1">
        <f>UpLinks!F36</f>
        <v>35</v>
      </c>
      <c r="H36" s="1">
        <f>UpLinks!G36</f>
        <v>16</v>
      </c>
      <c r="I36" s="1">
        <f>UpLinks!H36</f>
        <v>31</v>
      </c>
      <c r="J36" s="1">
        <f>UpLinks!I36</f>
        <v>3500</v>
      </c>
      <c r="K36" s="6">
        <f>UpLinks!J36</f>
        <v>3.8181818181818179</v>
      </c>
      <c r="L36" s="7">
        <f>UpLinks!K36</f>
        <v>1205.0054018563599</v>
      </c>
      <c r="M36" s="6">
        <f>UpLinks!L36</f>
        <v>3.8262287748378911</v>
      </c>
      <c r="N36" s="6">
        <f t="shared" si="1"/>
        <v>0.34428725767324569</v>
      </c>
    </row>
    <row r="37" spans="6:14" x14ac:dyDescent="0.45">
      <c r="F37" s="1" t="str">
        <f t="shared" si="0"/>
        <v>Link 36</v>
      </c>
      <c r="G37" s="1">
        <f>UpLinks!F37</f>
        <v>36</v>
      </c>
      <c r="H37" s="1">
        <f>UpLinks!G37</f>
        <v>17</v>
      </c>
      <c r="I37" s="1">
        <f>UpLinks!H37</f>
        <v>16</v>
      </c>
      <c r="J37" s="1">
        <f>UpLinks!I37</f>
        <v>4000</v>
      </c>
      <c r="K37" s="6">
        <f>UpLinks!J37</f>
        <v>4.5</v>
      </c>
      <c r="L37" s="7">
        <f>UpLinks!K37</f>
        <v>3981.2256229763921</v>
      </c>
      <c r="M37" s="6">
        <f>UpLinks!L37</f>
        <v>5.1624162374586708</v>
      </c>
      <c r="N37" s="6">
        <f t="shared" si="1"/>
        <v>0.99530640574409801</v>
      </c>
    </row>
    <row r="38" spans="6:14" x14ac:dyDescent="0.45">
      <c r="F38" s="1" t="str">
        <f t="shared" si="0"/>
        <v>Link 37</v>
      </c>
      <c r="G38" s="1">
        <f>UpLinks!F38</f>
        <v>37</v>
      </c>
      <c r="H38" s="1">
        <f>UpLinks!G38</f>
        <v>17</v>
      </c>
      <c r="I38" s="1">
        <f>UpLinks!H38</f>
        <v>18</v>
      </c>
      <c r="J38" s="1">
        <f>UpLinks!I38</f>
        <v>4000</v>
      </c>
      <c r="K38" s="6">
        <f>UpLinks!J38</f>
        <v>8.5</v>
      </c>
      <c r="L38" s="7">
        <f>UpLinks!K38</f>
        <v>5796.1883575469546</v>
      </c>
      <c r="M38" s="6">
        <f>UpLinks!L38</f>
        <v>14.121344225055644</v>
      </c>
      <c r="N38" s="6">
        <f t="shared" si="1"/>
        <v>1.4490470893867387</v>
      </c>
    </row>
    <row r="39" spans="6:14" x14ac:dyDescent="0.45">
      <c r="F39" s="1" t="str">
        <f t="shared" si="0"/>
        <v>Link 38</v>
      </c>
      <c r="G39" s="1">
        <f>UpLinks!F39</f>
        <v>38</v>
      </c>
      <c r="H39" s="1">
        <f>UpLinks!G39</f>
        <v>17</v>
      </c>
      <c r="I39" s="1">
        <f>UpLinks!H39</f>
        <v>32</v>
      </c>
      <c r="J39" s="1">
        <f>UpLinks!I39</f>
        <v>3000</v>
      </c>
      <c r="K39" s="6">
        <f>UpLinks!J39</f>
        <v>1.3333333333333335</v>
      </c>
      <c r="L39" s="7">
        <f>UpLinks!K39</f>
        <v>3646.8724982881972</v>
      </c>
      <c r="M39" s="6">
        <f>UpLinks!L39</f>
        <v>1.7700776839563759</v>
      </c>
      <c r="N39" s="6">
        <f t="shared" si="1"/>
        <v>1.2156241660960658</v>
      </c>
    </row>
    <row r="40" spans="6:14" x14ac:dyDescent="0.45">
      <c r="F40" s="1" t="str">
        <f t="shared" si="0"/>
        <v>Link 39</v>
      </c>
      <c r="G40" s="1">
        <f>UpLinks!F40</f>
        <v>39</v>
      </c>
      <c r="H40" s="1">
        <f>UpLinks!G40</f>
        <v>18</v>
      </c>
      <c r="I40" s="1">
        <f>UpLinks!H40</f>
        <v>5</v>
      </c>
      <c r="J40" s="1">
        <f>UpLinks!I40</f>
        <v>3500</v>
      </c>
      <c r="K40" s="6">
        <f>UpLinks!J40</f>
        <v>2.7272727272727275</v>
      </c>
      <c r="L40" s="7">
        <f>UpLinks!K40</f>
        <v>0</v>
      </c>
      <c r="M40" s="6">
        <f>UpLinks!L40</f>
        <v>2.7272727272727275</v>
      </c>
      <c r="N40" s="6">
        <f t="shared" si="1"/>
        <v>0</v>
      </c>
    </row>
    <row r="41" spans="6:14" x14ac:dyDescent="0.45">
      <c r="F41" s="1" t="str">
        <f t="shared" si="0"/>
        <v>Link 40</v>
      </c>
      <c r="G41" s="1">
        <f>UpLinks!F41</f>
        <v>40</v>
      </c>
      <c r="H41" s="1">
        <f>UpLinks!G41</f>
        <v>18</v>
      </c>
      <c r="I41" s="1">
        <f>UpLinks!H41</f>
        <v>17</v>
      </c>
      <c r="J41" s="1">
        <f>UpLinks!I41</f>
        <v>4000</v>
      </c>
      <c r="K41" s="6">
        <f>UpLinks!J41</f>
        <v>8.5</v>
      </c>
      <c r="L41" s="7">
        <f>UpLinks!K41</f>
        <v>5847.0946368433133</v>
      </c>
      <c r="M41" s="6">
        <f>UpLinks!L41</f>
        <v>14.321443834671141</v>
      </c>
      <c r="N41" s="6">
        <f t="shared" si="1"/>
        <v>1.4617736592108284</v>
      </c>
    </row>
    <row r="42" spans="6:14" x14ac:dyDescent="0.45">
      <c r="F42" s="1" t="str">
        <f t="shared" si="0"/>
        <v>Link 41</v>
      </c>
      <c r="G42" s="1">
        <f>UpLinks!F42</f>
        <v>41</v>
      </c>
      <c r="H42" s="1">
        <f>UpLinks!G42</f>
        <v>18</v>
      </c>
      <c r="I42" s="1">
        <f>UpLinks!H42</f>
        <v>19</v>
      </c>
      <c r="J42" s="1">
        <f>UpLinks!I42</f>
        <v>4000</v>
      </c>
      <c r="K42" s="6">
        <f>UpLinks!J42</f>
        <v>3</v>
      </c>
      <c r="L42" s="7">
        <f>UpLinks!K42</f>
        <v>3897.950175837419</v>
      </c>
      <c r="M42" s="6">
        <f>UpLinks!L42</f>
        <v>3.4058052701519816</v>
      </c>
      <c r="N42" s="6">
        <f t="shared" si="1"/>
        <v>0.97448754395935477</v>
      </c>
    </row>
    <row r="43" spans="6:14" x14ac:dyDescent="0.45">
      <c r="F43" s="1" t="str">
        <f t="shared" si="0"/>
        <v>Link 42</v>
      </c>
      <c r="G43" s="1">
        <f>UpLinks!F43</f>
        <v>42</v>
      </c>
      <c r="H43" s="1">
        <f>UpLinks!G43</f>
        <v>18</v>
      </c>
      <c r="I43" s="1">
        <f>UpLinks!H43</f>
        <v>33</v>
      </c>
      <c r="J43" s="1">
        <f>UpLinks!I43</f>
        <v>3500</v>
      </c>
      <c r="K43" s="6">
        <f>UpLinks!J43</f>
        <v>2.1818181818181817</v>
      </c>
      <c r="L43" s="7">
        <f>UpLinks!K43</f>
        <v>5720.7163275040239</v>
      </c>
      <c r="M43" s="6">
        <f>UpLinks!L43</f>
        <v>4.5176377380297623</v>
      </c>
      <c r="N43" s="6">
        <f t="shared" si="1"/>
        <v>1.6344903792868639</v>
      </c>
    </row>
    <row r="44" spans="6:14" x14ac:dyDescent="0.45">
      <c r="F44" s="1" t="str">
        <f t="shared" si="0"/>
        <v>Link 43</v>
      </c>
      <c r="G44" s="1">
        <f>UpLinks!F44</f>
        <v>43</v>
      </c>
      <c r="H44" s="1">
        <f>UpLinks!G44</f>
        <v>19</v>
      </c>
      <c r="I44" s="1">
        <f>UpLinks!H44</f>
        <v>6</v>
      </c>
      <c r="J44" s="1">
        <f>UpLinks!I44</f>
        <v>4000</v>
      </c>
      <c r="K44" s="6">
        <f>UpLinks!J44</f>
        <v>2.5</v>
      </c>
      <c r="L44" s="7">
        <f>UpLinks!K44</f>
        <v>0</v>
      </c>
      <c r="M44" s="6">
        <f>UpLinks!L44</f>
        <v>2.5</v>
      </c>
      <c r="N44" s="6">
        <f t="shared" si="1"/>
        <v>0</v>
      </c>
    </row>
    <row r="45" spans="6:14" x14ac:dyDescent="0.45">
      <c r="F45" s="1" t="str">
        <f t="shared" si="0"/>
        <v>Link 44</v>
      </c>
      <c r="G45" s="1">
        <f>UpLinks!F45</f>
        <v>44</v>
      </c>
      <c r="H45" s="1">
        <f>UpLinks!G45</f>
        <v>19</v>
      </c>
      <c r="I45" s="1">
        <f>UpLinks!H45</f>
        <v>18</v>
      </c>
      <c r="J45" s="1">
        <f>UpLinks!I45</f>
        <v>4000</v>
      </c>
      <c r="K45" s="6">
        <f>UpLinks!J45</f>
        <v>3</v>
      </c>
      <c r="L45" s="7">
        <f>UpLinks!K45</f>
        <v>3777.4429351044332</v>
      </c>
      <c r="M45" s="6">
        <f>UpLinks!L45</f>
        <v>3.3579020595837834</v>
      </c>
      <c r="N45" s="6">
        <f t="shared" si="1"/>
        <v>0.9443607337761083</v>
      </c>
    </row>
    <row r="46" spans="6:14" x14ac:dyDescent="0.45">
      <c r="F46" s="1" t="str">
        <f t="shared" si="0"/>
        <v>Link 45</v>
      </c>
      <c r="G46" s="1">
        <f>UpLinks!F46</f>
        <v>45</v>
      </c>
      <c r="H46" s="1">
        <f>UpLinks!G46</f>
        <v>19</v>
      </c>
      <c r="I46" s="1">
        <f>UpLinks!H46</f>
        <v>20</v>
      </c>
      <c r="J46" s="1">
        <f>UpLinks!I46</f>
        <v>4000</v>
      </c>
      <c r="K46" s="6">
        <f>UpLinks!J46</f>
        <v>3</v>
      </c>
      <c r="L46" s="7">
        <f>UpLinks!K46</f>
        <v>4006.1652522404679</v>
      </c>
      <c r="M46" s="6">
        <f>UpLinks!L46</f>
        <v>3.4527807843457183</v>
      </c>
      <c r="N46" s="6">
        <f t="shared" si="1"/>
        <v>1.001541313060117</v>
      </c>
    </row>
    <row r="47" spans="6:14" x14ac:dyDescent="0.45">
      <c r="F47" s="1" t="str">
        <f t="shared" si="0"/>
        <v>Link 46</v>
      </c>
      <c r="G47" s="1">
        <f>UpLinks!F47</f>
        <v>46</v>
      </c>
      <c r="H47" s="1">
        <f>UpLinks!G47</f>
        <v>19</v>
      </c>
      <c r="I47" s="1">
        <f>UpLinks!H47</f>
        <v>34</v>
      </c>
      <c r="J47" s="1">
        <f>UpLinks!I47</f>
        <v>3500</v>
      </c>
      <c r="K47" s="6">
        <f>UpLinks!J47</f>
        <v>3.2727272727272725</v>
      </c>
      <c r="L47" s="7">
        <f>UpLinks!K47</f>
        <v>898.25845136498333</v>
      </c>
      <c r="M47" s="6">
        <f>UpLinks!L47</f>
        <v>3.2748570497891163</v>
      </c>
      <c r="N47" s="6">
        <f t="shared" si="1"/>
        <v>0.25664527181856667</v>
      </c>
    </row>
    <row r="48" spans="6:14" x14ac:dyDescent="0.45">
      <c r="F48" s="1" t="str">
        <f t="shared" si="0"/>
        <v>Link 47</v>
      </c>
      <c r="G48" s="1">
        <f>UpLinks!F48</f>
        <v>47</v>
      </c>
      <c r="H48" s="1">
        <f>UpLinks!G48</f>
        <v>20</v>
      </c>
      <c r="I48" s="1">
        <f>UpLinks!H48</f>
        <v>19</v>
      </c>
      <c r="J48" s="1">
        <f>UpLinks!I48</f>
        <v>4000</v>
      </c>
      <c r="K48" s="6">
        <f>UpLinks!J48</f>
        <v>3</v>
      </c>
      <c r="L48" s="7">
        <f>UpLinks!K48</f>
        <v>4050.2508800093779</v>
      </c>
      <c r="M48" s="6">
        <f>UpLinks!L48</f>
        <v>3.4730425952451056</v>
      </c>
      <c r="N48" s="6">
        <f t="shared" si="1"/>
        <v>1.0125627200023444</v>
      </c>
    </row>
    <row r="49" spans="6:14" x14ac:dyDescent="0.45">
      <c r="F49" s="1" t="str">
        <f t="shared" si="0"/>
        <v>Link 48</v>
      </c>
      <c r="G49" s="1">
        <f>UpLinks!F49</f>
        <v>48</v>
      </c>
      <c r="H49" s="1">
        <f>UpLinks!G49</f>
        <v>20</v>
      </c>
      <c r="I49" s="1">
        <f>UpLinks!H49</f>
        <v>21</v>
      </c>
      <c r="J49" s="1">
        <f>UpLinks!I49</f>
        <v>4000</v>
      </c>
      <c r="K49" s="6">
        <f>UpLinks!J49</f>
        <v>5.5</v>
      </c>
      <c r="L49" s="7">
        <f>UpLinks!K49</f>
        <v>4006.1652522404679</v>
      </c>
      <c r="M49" s="6">
        <f>UpLinks!L49</f>
        <v>6.3300981046338167</v>
      </c>
      <c r="N49" s="6">
        <f t="shared" si="1"/>
        <v>1.001541313060117</v>
      </c>
    </row>
    <row r="50" spans="6:14" x14ac:dyDescent="0.45">
      <c r="F50" s="1" t="str">
        <f t="shared" si="0"/>
        <v>Link 49</v>
      </c>
      <c r="G50" s="1">
        <f>UpLinks!F50</f>
        <v>49</v>
      </c>
      <c r="H50" s="1">
        <f>UpLinks!G50</f>
        <v>20</v>
      </c>
      <c r="I50" s="1">
        <f>UpLinks!H50</f>
        <v>35</v>
      </c>
      <c r="J50" s="1">
        <f>UpLinks!I50</f>
        <v>3000</v>
      </c>
      <c r="K50" s="6">
        <f>UpLinks!J50</f>
        <v>5.3333333333333339</v>
      </c>
      <c r="L50" s="7">
        <f>UpLinks!K50</f>
        <v>0</v>
      </c>
      <c r="M50" s="6">
        <f>UpLinks!L50</f>
        <v>5.3333333333333339</v>
      </c>
      <c r="N50" s="6">
        <f t="shared" si="1"/>
        <v>0</v>
      </c>
    </row>
    <row r="51" spans="6:14" x14ac:dyDescent="0.45">
      <c r="F51" s="1" t="str">
        <f t="shared" si="0"/>
        <v>Link 50</v>
      </c>
      <c r="G51" s="1">
        <f>UpLinks!F51</f>
        <v>50</v>
      </c>
      <c r="H51" s="1">
        <f>UpLinks!G51</f>
        <v>21</v>
      </c>
      <c r="I51" s="1">
        <f>UpLinks!H51</f>
        <v>7</v>
      </c>
      <c r="J51" s="1">
        <f>UpLinks!I51</f>
        <v>3500</v>
      </c>
      <c r="K51" s="6">
        <f>UpLinks!J51</f>
        <v>2.7272727272727275</v>
      </c>
      <c r="L51" s="7">
        <f>UpLinks!K51</f>
        <v>0</v>
      </c>
      <c r="M51" s="6">
        <f>UpLinks!L51</f>
        <v>2.7272727272727275</v>
      </c>
      <c r="N51" s="6">
        <f t="shared" si="1"/>
        <v>0</v>
      </c>
    </row>
    <row r="52" spans="6:14" x14ac:dyDescent="0.45">
      <c r="F52" s="1" t="str">
        <f t="shared" si="0"/>
        <v>Link 51</v>
      </c>
      <c r="G52" s="1">
        <f>UpLinks!F52</f>
        <v>51</v>
      </c>
      <c r="H52" s="1">
        <f>UpLinks!G52</f>
        <v>21</v>
      </c>
      <c r="I52" s="1">
        <f>UpLinks!H52</f>
        <v>20</v>
      </c>
      <c r="J52" s="1">
        <f>UpLinks!I52</f>
        <v>4000</v>
      </c>
      <c r="K52" s="6">
        <f>UpLinks!J52</f>
        <v>5.5</v>
      </c>
      <c r="L52" s="7">
        <f>UpLinks!K52</f>
        <v>4050.2508800093779</v>
      </c>
      <c r="M52" s="6">
        <f>UpLinks!L52</f>
        <v>6.3672447579493605</v>
      </c>
      <c r="N52" s="6">
        <f t="shared" si="1"/>
        <v>1.0125627200023444</v>
      </c>
    </row>
    <row r="53" spans="6:14" x14ac:dyDescent="0.45">
      <c r="F53" s="1" t="str">
        <f t="shared" si="0"/>
        <v>Link 52</v>
      </c>
      <c r="G53" s="1">
        <f>UpLinks!F53</f>
        <v>52</v>
      </c>
      <c r="H53" s="1">
        <f>UpLinks!G53</f>
        <v>21</v>
      </c>
      <c r="I53" s="1">
        <f>UpLinks!H53</f>
        <v>22</v>
      </c>
      <c r="J53" s="1">
        <f>UpLinks!I53</f>
        <v>4000</v>
      </c>
      <c r="K53" s="6">
        <f>UpLinks!J53</f>
        <v>1.5</v>
      </c>
      <c r="L53" s="7">
        <f>UpLinks!K53</f>
        <v>3279.7871708733501</v>
      </c>
      <c r="M53" s="6">
        <f>UpLinks!L53</f>
        <v>1.601700995456486</v>
      </c>
      <c r="N53" s="6">
        <f t="shared" si="1"/>
        <v>0.81994679271833748</v>
      </c>
    </row>
    <row r="54" spans="6:14" x14ac:dyDescent="0.45">
      <c r="F54" s="1" t="str">
        <f t="shared" si="0"/>
        <v>Link 53</v>
      </c>
      <c r="G54" s="1">
        <f>UpLinks!F54</f>
        <v>53</v>
      </c>
      <c r="H54" s="1">
        <f>UpLinks!G54</f>
        <v>21</v>
      </c>
      <c r="I54" s="1">
        <f>UpLinks!H54</f>
        <v>36</v>
      </c>
      <c r="J54" s="1">
        <f>UpLinks!I54</f>
        <v>3500</v>
      </c>
      <c r="K54" s="6">
        <f>UpLinks!J54</f>
        <v>4.9090909090909092</v>
      </c>
      <c r="L54" s="7">
        <f>UpLinks!K54</f>
        <v>4915.534995267426</v>
      </c>
      <c r="M54" s="6">
        <f>UpLinks!L54</f>
        <v>7.7739503940658059</v>
      </c>
      <c r="N54" s="6">
        <f t="shared" si="1"/>
        <v>1.4044385700764075</v>
      </c>
    </row>
    <row r="55" spans="6:14" x14ac:dyDescent="0.45">
      <c r="F55" s="1" t="str">
        <f t="shared" si="0"/>
        <v>Link 54</v>
      </c>
      <c r="G55" s="1">
        <f>UpLinks!F55</f>
        <v>54</v>
      </c>
      <c r="H55" s="1">
        <f>UpLinks!G55</f>
        <v>22</v>
      </c>
      <c r="I55" s="1">
        <f>UpLinks!H55</f>
        <v>21</v>
      </c>
      <c r="J55" s="1">
        <f>UpLinks!I55</f>
        <v>4000</v>
      </c>
      <c r="K55" s="6">
        <f>UpLinks!J55</f>
        <v>1.5</v>
      </c>
      <c r="L55" s="7">
        <f>UpLinks!K55</f>
        <v>3260.9900445809189</v>
      </c>
      <c r="M55" s="6">
        <f>UpLinks!L55</f>
        <v>1.599389486002242</v>
      </c>
      <c r="N55" s="6">
        <f t="shared" si="1"/>
        <v>0.81524751114522975</v>
      </c>
    </row>
    <row r="56" spans="6:14" x14ac:dyDescent="0.45">
      <c r="F56" s="1" t="str">
        <f t="shared" si="0"/>
        <v>Link 55</v>
      </c>
      <c r="G56" s="1">
        <f>UpLinks!F56</f>
        <v>55</v>
      </c>
      <c r="H56" s="1">
        <f>UpLinks!G56</f>
        <v>22</v>
      </c>
      <c r="I56" s="1">
        <f>UpLinks!H56</f>
        <v>23</v>
      </c>
      <c r="J56" s="1">
        <f>UpLinks!I56</f>
        <v>4000</v>
      </c>
      <c r="K56" s="6">
        <f>UpLinks!J56</f>
        <v>4.5</v>
      </c>
      <c r="L56" s="7">
        <f>UpLinks!K56</f>
        <v>3279.7871708733501</v>
      </c>
      <c r="M56" s="6">
        <f>UpLinks!L56</f>
        <v>4.8051029863694579</v>
      </c>
      <c r="N56" s="6">
        <f t="shared" si="1"/>
        <v>0.81994679271833748</v>
      </c>
    </row>
    <row r="57" spans="6:14" x14ac:dyDescent="0.45">
      <c r="F57" s="1" t="str">
        <f t="shared" si="0"/>
        <v>Link 56</v>
      </c>
      <c r="G57" s="1">
        <f>UpLinks!F57</f>
        <v>56</v>
      </c>
      <c r="H57" s="1">
        <f>UpLinks!G57</f>
        <v>22</v>
      </c>
      <c r="I57" s="1">
        <f>UpLinks!H57</f>
        <v>37</v>
      </c>
      <c r="J57" s="1">
        <f>UpLinks!I57</f>
        <v>3000</v>
      </c>
      <c r="K57" s="6">
        <f>UpLinks!J57</f>
        <v>6.6666666666666661</v>
      </c>
      <c r="L57" s="7">
        <f>UpLinks!K57</f>
        <v>0</v>
      </c>
      <c r="M57" s="6">
        <f>UpLinks!L57</f>
        <v>6.6666666666666661</v>
      </c>
      <c r="N57" s="6">
        <f t="shared" si="1"/>
        <v>0</v>
      </c>
    </row>
    <row r="58" spans="6:14" x14ac:dyDescent="0.45">
      <c r="F58" s="1" t="str">
        <f t="shared" si="0"/>
        <v>Link 57</v>
      </c>
      <c r="G58" s="1">
        <f>UpLinks!F58</f>
        <v>57</v>
      </c>
      <c r="H58" s="1">
        <f>UpLinks!G58</f>
        <v>23</v>
      </c>
      <c r="I58" s="1">
        <f>UpLinks!H58</f>
        <v>22</v>
      </c>
      <c r="J58" s="1">
        <f>UpLinks!I58</f>
        <v>4000</v>
      </c>
      <c r="K58" s="6">
        <f>UpLinks!J58</f>
        <v>4.5</v>
      </c>
      <c r="L58" s="7">
        <f>UpLinks!K58</f>
        <v>3260.9900445809189</v>
      </c>
      <c r="M58" s="6">
        <f>UpLinks!L58</f>
        <v>4.7981684580067263</v>
      </c>
      <c r="N58" s="6">
        <f t="shared" si="1"/>
        <v>0.81524751114522975</v>
      </c>
    </row>
    <row r="59" spans="6:14" x14ac:dyDescent="0.45">
      <c r="F59" s="1" t="str">
        <f t="shared" si="0"/>
        <v>Link 58</v>
      </c>
      <c r="G59" s="1">
        <f>UpLinks!F59</f>
        <v>58</v>
      </c>
      <c r="H59" s="1">
        <f>UpLinks!G59</f>
        <v>23</v>
      </c>
      <c r="I59" s="1">
        <f>UpLinks!H59</f>
        <v>24</v>
      </c>
      <c r="J59" s="1">
        <f>UpLinks!I59</f>
        <v>4000</v>
      </c>
      <c r="K59" s="6">
        <f>UpLinks!J59</f>
        <v>0.5</v>
      </c>
      <c r="L59" s="7">
        <f>UpLinks!K59</f>
        <v>5284.5521894537933</v>
      </c>
      <c r="M59" s="6">
        <f>UpLinks!L59</f>
        <v>0.72848308984195687</v>
      </c>
      <c r="N59" s="6">
        <f t="shared" si="1"/>
        <v>1.3211380473634484</v>
      </c>
    </row>
    <row r="60" spans="6:14" x14ac:dyDescent="0.45">
      <c r="F60" s="1" t="str">
        <f t="shared" si="0"/>
        <v>Link 59</v>
      </c>
      <c r="G60" s="1">
        <f>UpLinks!F60</f>
        <v>59</v>
      </c>
      <c r="H60" s="1">
        <f>UpLinks!G60</f>
        <v>23</v>
      </c>
      <c r="I60" s="1">
        <f>UpLinks!H60</f>
        <v>38</v>
      </c>
      <c r="J60" s="1">
        <f>UpLinks!I60</f>
        <v>3000</v>
      </c>
      <c r="K60" s="6">
        <f>UpLinks!J60</f>
        <v>5.3333333333333339</v>
      </c>
      <c r="L60" s="7">
        <f>UpLinks!K60</f>
        <v>2474.9479513927804</v>
      </c>
      <c r="M60" s="6">
        <f>UpLinks!L60</f>
        <v>5.7039024723034135</v>
      </c>
      <c r="N60" s="6">
        <f t="shared" si="1"/>
        <v>0.82498265046426011</v>
      </c>
    </row>
    <row r="61" spans="6:14" x14ac:dyDescent="0.45">
      <c r="F61" s="1" t="str">
        <f t="shared" si="0"/>
        <v>Link 60</v>
      </c>
      <c r="G61" s="1">
        <f>UpLinks!F61</f>
        <v>60</v>
      </c>
      <c r="H61" s="1">
        <f>UpLinks!G61</f>
        <v>24</v>
      </c>
      <c r="I61" s="1">
        <f>UpLinks!H61</f>
        <v>8</v>
      </c>
      <c r="J61" s="1">
        <f>UpLinks!I61</f>
        <v>3500</v>
      </c>
      <c r="K61" s="6">
        <f>UpLinks!J61</f>
        <v>2.7272727272727275</v>
      </c>
      <c r="L61" s="7">
        <f>UpLinks!K61</f>
        <v>0</v>
      </c>
      <c r="M61" s="6">
        <f>UpLinks!L61</f>
        <v>2.7272727272727275</v>
      </c>
      <c r="N61" s="6">
        <f t="shared" si="1"/>
        <v>0</v>
      </c>
    </row>
    <row r="62" spans="6:14" x14ac:dyDescent="0.45">
      <c r="F62" s="1" t="str">
        <f t="shared" si="0"/>
        <v>Link 61</v>
      </c>
      <c r="G62" s="1">
        <f>UpLinks!F62</f>
        <v>61</v>
      </c>
      <c r="H62" s="1">
        <f>UpLinks!G62</f>
        <v>24</v>
      </c>
      <c r="I62" s="1">
        <f>UpLinks!H62</f>
        <v>9</v>
      </c>
      <c r="J62" s="1">
        <f>UpLinks!I62</f>
        <v>4000</v>
      </c>
      <c r="K62" s="6">
        <f>UpLinks!J62</f>
        <v>3</v>
      </c>
      <c r="L62" s="7">
        <f>UpLinks!K62</f>
        <v>7124.8969451188332</v>
      </c>
      <c r="M62" s="6">
        <f>UpLinks!L62</f>
        <v>7.529882079457205</v>
      </c>
      <c r="N62" s="6">
        <f t="shared" si="1"/>
        <v>1.7812242362797084</v>
      </c>
    </row>
    <row r="63" spans="6:14" x14ac:dyDescent="0.45">
      <c r="F63" s="1" t="str">
        <f t="shared" si="0"/>
        <v>Link 62</v>
      </c>
      <c r="G63" s="1">
        <f>UpLinks!F63</f>
        <v>62</v>
      </c>
      <c r="H63" s="1">
        <f>UpLinks!G63</f>
        <v>24</v>
      </c>
      <c r="I63" s="1">
        <f>UpLinks!H63</f>
        <v>23</v>
      </c>
      <c r="J63" s="1">
        <f>UpLinks!I63</f>
        <v>4000</v>
      </c>
      <c r="K63" s="6">
        <f>UpLinks!J63</f>
        <v>0.5</v>
      </c>
      <c r="L63" s="7">
        <f>UpLinks!K63</f>
        <v>5490.488179261396</v>
      </c>
      <c r="M63" s="6">
        <f>UpLinks!L63</f>
        <v>0.76623499576310783</v>
      </c>
      <c r="N63" s="6">
        <f t="shared" si="1"/>
        <v>1.372622044815349</v>
      </c>
    </row>
    <row r="64" spans="6:14" x14ac:dyDescent="0.45">
      <c r="F64" s="1" t="str">
        <f t="shared" si="0"/>
        <v>Link 63</v>
      </c>
      <c r="G64" s="1">
        <f>UpLinks!F64</f>
        <v>63</v>
      </c>
      <c r="H64" s="1">
        <f>UpLinks!G64</f>
        <v>24</v>
      </c>
      <c r="I64" s="1">
        <f>UpLinks!H64</f>
        <v>25</v>
      </c>
      <c r="J64" s="1">
        <f>UpLinks!I64</f>
        <v>3000</v>
      </c>
      <c r="K64" s="6">
        <f>UpLinks!J64</f>
        <v>2.666666666666667</v>
      </c>
      <c r="L64" s="7">
        <f>UpLinks!K64</f>
        <v>3445.9161062586904</v>
      </c>
      <c r="M64" s="6">
        <f>UpLinks!L64</f>
        <v>3.3629624615239697</v>
      </c>
      <c r="N64" s="6">
        <f t="shared" si="1"/>
        <v>1.1486387020862301</v>
      </c>
    </row>
    <row r="65" spans="6:14" x14ac:dyDescent="0.45">
      <c r="F65" s="1" t="str">
        <f t="shared" si="0"/>
        <v>Link 64</v>
      </c>
      <c r="G65" s="1">
        <f>UpLinks!F65</f>
        <v>64</v>
      </c>
      <c r="H65" s="1">
        <f>UpLinks!G65</f>
        <v>25</v>
      </c>
      <c r="I65" s="1">
        <f>UpLinks!H65</f>
        <v>10</v>
      </c>
      <c r="J65" s="1">
        <f>UpLinks!I65</f>
        <v>2000</v>
      </c>
      <c r="K65" s="6">
        <f>UpLinks!J65</f>
        <v>6</v>
      </c>
      <c r="L65" s="7">
        <f>UpLinks!K65</f>
        <v>403.27384358901338</v>
      </c>
      <c r="M65" s="6">
        <f>UpLinks!L65</f>
        <v>6.0014877252869727</v>
      </c>
      <c r="N65" s="6">
        <f t="shared" si="1"/>
        <v>0.20163692179450668</v>
      </c>
    </row>
    <row r="66" spans="6:14" x14ac:dyDescent="0.45">
      <c r="F66" s="1" t="str">
        <f t="shared" si="0"/>
        <v>Link 65</v>
      </c>
      <c r="G66" s="1">
        <f>UpLinks!F66</f>
        <v>65</v>
      </c>
      <c r="H66" s="1">
        <f>UpLinks!G66</f>
        <v>25</v>
      </c>
      <c r="I66" s="1">
        <f>UpLinks!H66</f>
        <v>24</v>
      </c>
      <c r="J66" s="1">
        <f>UpLinks!I66</f>
        <v>3000</v>
      </c>
      <c r="K66" s="6">
        <f>UpLinks!J66</f>
        <v>2.666666666666667</v>
      </c>
      <c r="L66" s="7">
        <f>UpLinks!K66</f>
        <v>3414.0724576369303</v>
      </c>
      <c r="M66" s="6">
        <f>UpLinks!L66</f>
        <v>3.3375792053460422</v>
      </c>
      <c r="N66" s="6">
        <f t="shared" si="1"/>
        <v>1.1380241525456434</v>
      </c>
    </row>
    <row r="67" spans="6:14" x14ac:dyDescent="0.45">
      <c r="F67" s="1" t="str">
        <f t="shared" ref="F67:F130" si="2">"Link" &amp; " " &amp; G67</f>
        <v>Link 66</v>
      </c>
      <c r="G67" s="1">
        <f>UpLinks!F67</f>
        <v>66</v>
      </c>
      <c r="H67" s="1">
        <f>UpLinks!G67</f>
        <v>25</v>
      </c>
      <c r="I67" s="1">
        <f>UpLinks!H67</f>
        <v>26</v>
      </c>
      <c r="J67" s="1">
        <f>UpLinks!I67</f>
        <v>3000</v>
      </c>
      <c r="K67" s="6">
        <f>UpLinks!J67</f>
        <v>2</v>
      </c>
      <c r="L67" s="7">
        <f>UpLinks!K67</f>
        <v>3648.3661424581574</v>
      </c>
      <c r="M67" s="6">
        <f>UpLinks!L67</f>
        <v>2.6561904458976713</v>
      </c>
      <c r="N67" s="6">
        <f t="shared" ref="N67:N130" si="3">L67/J67</f>
        <v>1.2161220474860523</v>
      </c>
    </row>
    <row r="68" spans="6:14" x14ac:dyDescent="0.45">
      <c r="F68" s="1" t="str">
        <f t="shared" si="2"/>
        <v>Link 67</v>
      </c>
      <c r="G68" s="1">
        <f>UpLinks!F68</f>
        <v>67</v>
      </c>
      <c r="H68" s="1">
        <f>UpLinks!G68</f>
        <v>26</v>
      </c>
      <c r="I68" s="1">
        <f>UpLinks!H68</f>
        <v>11</v>
      </c>
      <c r="J68" s="1">
        <f>UpLinks!I68</f>
        <v>2000</v>
      </c>
      <c r="K68" s="6">
        <f>UpLinks!J68</f>
        <v>7.7142857142857135</v>
      </c>
      <c r="L68" s="7">
        <f>UpLinks!K68</f>
        <v>1278.1149113182671</v>
      </c>
      <c r="M68" s="6">
        <f>UpLinks!L68</f>
        <v>7.9072809564990116</v>
      </c>
      <c r="N68" s="6">
        <f t="shared" si="3"/>
        <v>0.63905745565913352</v>
      </c>
    </row>
    <row r="69" spans="6:14" x14ac:dyDescent="0.45">
      <c r="F69" s="1" t="str">
        <f t="shared" si="2"/>
        <v>Link 68</v>
      </c>
      <c r="G69" s="1">
        <f>UpLinks!F69</f>
        <v>68</v>
      </c>
      <c r="H69" s="1">
        <f>UpLinks!G69</f>
        <v>26</v>
      </c>
      <c r="I69" s="1">
        <f>UpLinks!H69</f>
        <v>25</v>
      </c>
      <c r="J69" s="1">
        <f>UpLinks!I69</f>
        <v>3000</v>
      </c>
      <c r="K69" s="6">
        <f>UpLinks!J69</f>
        <v>2</v>
      </c>
      <c r="L69" s="7">
        <f>UpLinks!K69</f>
        <v>3817.3463012259435</v>
      </c>
      <c r="M69" s="6">
        <f>UpLinks!L69</f>
        <v>2.7864705698498939</v>
      </c>
      <c r="N69" s="6">
        <f t="shared" si="3"/>
        <v>1.2724487670753144</v>
      </c>
    </row>
    <row r="70" spans="6:14" x14ac:dyDescent="0.45">
      <c r="F70" s="1" t="str">
        <f t="shared" si="2"/>
        <v>Link 69</v>
      </c>
      <c r="G70" s="1">
        <f>UpLinks!F70</f>
        <v>69</v>
      </c>
      <c r="H70" s="1">
        <f>UpLinks!G70</f>
        <v>26</v>
      </c>
      <c r="I70" s="1">
        <f>UpLinks!H70</f>
        <v>27</v>
      </c>
      <c r="J70" s="1">
        <f>UpLinks!I70</f>
        <v>3000</v>
      </c>
      <c r="K70" s="6">
        <f>UpLinks!J70</f>
        <v>3.333333333333333</v>
      </c>
      <c r="L70" s="7">
        <f>UpLinks!K70</f>
        <v>3670.0933111043319</v>
      </c>
      <c r="M70" s="6">
        <f>UpLinks!L70</f>
        <v>4.4532698623907994</v>
      </c>
      <c r="N70" s="6">
        <f t="shared" si="3"/>
        <v>1.2233644370347774</v>
      </c>
    </row>
    <row r="71" spans="6:14" x14ac:dyDescent="0.45">
      <c r="F71" s="1" t="str">
        <f t="shared" si="2"/>
        <v>Link 70</v>
      </c>
      <c r="G71" s="1">
        <f>UpLinks!F71</f>
        <v>70</v>
      </c>
      <c r="H71" s="1">
        <f>UpLinks!G71</f>
        <v>26</v>
      </c>
      <c r="I71" s="1">
        <f>UpLinks!H71</f>
        <v>38</v>
      </c>
      <c r="J71" s="1">
        <f>UpLinks!I71</f>
        <v>2000</v>
      </c>
      <c r="K71" s="6">
        <f>UpLinks!J71</f>
        <v>1.7142857142857142</v>
      </c>
      <c r="L71" s="7">
        <f>UpLinks!K71</f>
        <v>1714.3349619245655</v>
      </c>
      <c r="M71" s="6">
        <f>UpLinks!L71</f>
        <v>1.8531009743737354</v>
      </c>
      <c r="N71" s="6">
        <f t="shared" si="3"/>
        <v>0.85716748096228279</v>
      </c>
    </row>
    <row r="72" spans="6:14" x14ac:dyDescent="0.45">
      <c r="F72" s="1" t="str">
        <f t="shared" si="2"/>
        <v>Link 71</v>
      </c>
      <c r="G72" s="1">
        <f>UpLinks!F72</f>
        <v>71</v>
      </c>
      <c r="H72" s="1">
        <f>UpLinks!G72</f>
        <v>27</v>
      </c>
      <c r="I72" s="1">
        <f>UpLinks!H72</f>
        <v>12</v>
      </c>
      <c r="J72" s="1">
        <f>UpLinks!I72</f>
        <v>3000</v>
      </c>
      <c r="K72" s="6">
        <f>UpLinks!J72</f>
        <v>5.3333333333333339</v>
      </c>
      <c r="L72" s="7">
        <f>UpLinks!K72</f>
        <v>5435.7796643907859</v>
      </c>
      <c r="M72" s="6">
        <f>UpLinks!L72</f>
        <v>13.956213416018425</v>
      </c>
      <c r="N72" s="6">
        <f t="shared" si="3"/>
        <v>1.8119265547969285</v>
      </c>
    </row>
    <row r="73" spans="6:14" x14ac:dyDescent="0.45">
      <c r="F73" s="1" t="str">
        <f t="shared" si="2"/>
        <v>Link 72</v>
      </c>
      <c r="G73" s="1">
        <f>UpLinks!F73</f>
        <v>72</v>
      </c>
      <c r="H73" s="1">
        <f>UpLinks!G73</f>
        <v>27</v>
      </c>
      <c r="I73" s="1">
        <f>UpLinks!H73</f>
        <v>26</v>
      </c>
      <c r="J73" s="1">
        <f>UpLinks!I73</f>
        <v>3000</v>
      </c>
      <c r="K73" s="6">
        <f>UpLinks!J73</f>
        <v>3.333333333333333</v>
      </c>
      <c r="L73" s="7">
        <f>UpLinks!K73</f>
        <v>3640.56957904517</v>
      </c>
      <c r="M73" s="6">
        <f>UpLinks!L73</f>
        <v>4.4176654680585843</v>
      </c>
      <c r="N73" s="6">
        <f t="shared" si="3"/>
        <v>1.2135231930150567</v>
      </c>
    </row>
    <row r="74" spans="6:14" x14ac:dyDescent="0.45">
      <c r="F74" s="1" t="str">
        <f t="shared" si="2"/>
        <v>Link 73</v>
      </c>
      <c r="G74" s="1">
        <f>UpLinks!F74</f>
        <v>73</v>
      </c>
      <c r="H74" s="1">
        <f>UpLinks!G74</f>
        <v>27</v>
      </c>
      <c r="I74" s="1">
        <f>UpLinks!H74</f>
        <v>28</v>
      </c>
      <c r="J74" s="1">
        <f>UpLinks!I74</f>
        <v>3000</v>
      </c>
      <c r="K74" s="6">
        <f>UpLinks!J74</f>
        <v>3.333333333333333</v>
      </c>
      <c r="L74" s="7">
        <f>UpLinks!K74</f>
        <v>3451.9625337968146</v>
      </c>
      <c r="M74" s="6">
        <f>UpLinks!L74</f>
        <v>4.20982800258954</v>
      </c>
      <c r="N74" s="6">
        <f t="shared" si="3"/>
        <v>1.1506541779322714</v>
      </c>
    </row>
    <row r="75" spans="6:14" x14ac:dyDescent="0.45">
      <c r="F75" s="1" t="str">
        <f t="shared" si="2"/>
        <v>Link 74</v>
      </c>
      <c r="G75" s="1">
        <f>UpLinks!F75</f>
        <v>74</v>
      </c>
      <c r="H75" s="1">
        <f>UpLinks!G75</f>
        <v>27</v>
      </c>
      <c r="I75" s="1">
        <f>UpLinks!H75</f>
        <v>39</v>
      </c>
      <c r="J75" s="1">
        <f>UpLinks!I75</f>
        <v>3000</v>
      </c>
      <c r="K75" s="6">
        <f>UpLinks!J75</f>
        <v>0.66666666666666674</v>
      </c>
      <c r="L75" s="7">
        <f>UpLinks!K75</f>
        <v>7772.7688020685155</v>
      </c>
      <c r="M75" s="6">
        <f>UpLinks!L75</f>
        <v>5.1729446714184464</v>
      </c>
      <c r="N75" s="6">
        <f t="shared" si="3"/>
        <v>2.5909229340228386</v>
      </c>
    </row>
    <row r="76" spans="6:14" x14ac:dyDescent="0.45">
      <c r="F76" s="1" t="str">
        <f t="shared" si="2"/>
        <v>Link 75</v>
      </c>
      <c r="G76" s="1">
        <f>UpLinks!F76</f>
        <v>75</v>
      </c>
      <c r="H76" s="1">
        <f>UpLinks!G76</f>
        <v>28</v>
      </c>
      <c r="I76" s="1">
        <f>UpLinks!H76</f>
        <v>27</v>
      </c>
      <c r="J76" s="1">
        <f>UpLinks!I76</f>
        <v>3000</v>
      </c>
      <c r="K76" s="6">
        <f>UpLinks!J76</f>
        <v>3.333333333333333</v>
      </c>
      <c r="L76" s="7">
        <f>UpLinks!K76</f>
        <v>3438.9439547718994</v>
      </c>
      <c r="M76" s="6">
        <f>UpLinks!L76</f>
        <v>4.1966803205413283</v>
      </c>
      <c r="N76" s="6">
        <f t="shared" si="3"/>
        <v>1.1463146515906331</v>
      </c>
    </row>
    <row r="77" spans="6:14" x14ac:dyDescent="0.45">
      <c r="F77" s="1" t="str">
        <f t="shared" si="2"/>
        <v>Link 76</v>
      </c>
      <c r="G77" s="1">
        <f>UpLinks!F77</f>
        <v>76</v>
      </c>
      <c r="H77" s="1">
        <f>UpLinks!G77</f>
        <v>28</v>
      </c>
      <c r="I77" s="1">
        <f>UpLinks!H77</f>
        <v>29</v>
      </c>
      <c r="J77" s="1">
        <f>UpLinks!I77</f>
        <v>3500</v>
      </c>
      <c r="K77" s="6">
        <f>UpLinks!J77</f>
        <v>1.0909090909090908</v>
      </c>
      <c r="L77" s="7">
        <f>UpLinks!K77</f>
        <v>12075.826824797699</v>
      </c>
      <c r="M77" s="6">
        <f>UpLinks!L77</f>
        <v>24.279542128139582</v>
      </c>
      <c r="N77" s="6">
        <f t="shared" si="3"/>
        <v>3.4502362356564857</v>
      </c>
    </row>
    <row r="78" spans="6:14" x14ac:dyDescent="0.45">
      <c r="F78" s="1" t="str">
        <f t="shared" si="2"/>
        <v>Link 77</v>
      </c>
      <c r="G78" s="1">
        <f>UpLinks!F78</f>
        <v>77</v>
      </c>
      <c r="H78" s="1">
        <f>UpLinks!G78</f>
        <v>28</v>
      </c>
      <c r="I78" s="1">
        <f>UpLinks!H78</f>
        <v>40</v>
      </c>
      <c r="J78" s="1">
        <f>UpLinks!I78</f>
        <v>3500</v>
      </c>
      <c r="K78" s="6">
        <f>UpLinks!J78</f>
        <v>0.54545454545454541</v>
      </c>
      <c r="L78" s="7">
        <f>UpLinks!K78</f>
        <v>9967.8097332115649</v>
      </c>
      <c r="M78" s="6">
        <f>UpLinks!L78</f>
        <v>5.9278624178602222</v>
      </c>
      <c r="N78" s="6">
        <f t="shared" si="3"/>
        <v>2.8479456380604473</v>
      </c>
    </row>
    <row r="79" spans="6:14" x14ac:dyDescent="0.45">
      <c r="F79" s="1" t="str">
        <f t="shared" si="2"/>
        <v>Link 78</v>
      </c>
      <c r="G79" s="1">
        <f>UpLinks!F79</f>
        <v>78</v>
      </c>
      <c r="H79" s="1">
        <f>UpLinks!G79</f>
        <v>29</v>
      </c>
      <c r="I79" s="1">
        <f>UpLinks!H79</f>
        <v>13</v>
      </c>
      <c r="J79" s="1">
        <f>UpLinks!I79</f>
        <v>2000</v>
      </c>
      <c r="K79" s="6">
        <f>UpLinks!J79</f>
        <v>6.8571428571428568</v>
      </c>
      <c r="L79" s="7">
        <f>UpLinks!K79</f>
        <v>3848.7911323577187</v>
      </c>
      <c r="M79" s="6">
        <f>UpLinks!L79</f>
        <v>20.963401641638676</v>
      </c>
      <c r="N79" s="6">
        <f t="shared" si="3"/>
        <v>1.9243955661788594</v>
      </c>
    </row>
    <row r="80" spans="6:14" x14ac:dyDescent="0.45">
      <c r="F80" s="1" t="str">
        <f t="shared" si="2"/>
        <v>Link 79</v>
      </c>
      <c r="G80" s="1">
        <f>UpLinks!F80</f>
        <v>79</v>
      </c>
      <c r="H80" s="1">
        <f>UpLinks!G80</f>
        <v>29</v>
      </c>
      <c r="I80" s="1">
        <f>UpLinks!H80</f>
        <v>28</v>
      </c>
      <c r="J80" s="1">
        <f>UpLinks!I80</f>
        <v>3500</v>
      </c>
      <c r="K80" s="6">
        <f>UpLinks!J80</f>
        <v>1.0909090909090908</v>
      </c>
      <c r="L80" s="7">
        <f>UpLinks!K80</f>
        <v>12088.649090647015</v>
      </c>
      <c r="M80" s="6">
        <f>UpLinks!L80</f>
        <v>24.37818703968421</v>
      </c>
      <c r="N80" s="6">
        <f t="shared" si="3"/>
        <v>3.4538997401848617</v>
      </c>
    </row>
    <row r="81" spans="6:14" x14ac:dyDescent="0.45">
      <c r="F81" s="1" t="str">
        <f t="shared" si="2"/>
        <v>Link 80</v>
      </c>
      <c r="G81" s="1">
        <f>UpLinks!F81</f>
        <v>80</v>
      </c>
      <c r="H81" s="1">
        <f>UpLinks!G81</f>
        <v>29</v>
      </c>
      <c r="I81" s="1">
        <f>UpLinks!H81</f>
        <v>30</v>
      </c>
      <c r="J81" s="1">
        <f>UpLinks!I81</f>
        <v>3500</v>
      </c>
      <c r="K81" s="6">
        <f>UpLinks!J81</f>
        <v>2.7272727272727275</v>
      </c>
      <c r="L81" s="7">
        <f>UpLinks!K81</f>
        <v>9863.7914672137158</v>
      </c>
      <c r="M81" s="6">
        <f>UpLinks!L81</f>
        <v>28.533420501816728</v>
      </c>
      <c r="N81" s="6">
        <f t="shared" si="3"/>
        <v>2.8182261334896332</v>
      </c>
    </row>
    <row r="82" spans="6:14" x14ac:dyDescent="0.45">
      <c r="F82" s="1" t="str">
        <f t="shared" si="2"/>
        <v>Link 81</v>
      </c>
      <c r="G82" s="1">
        <f>UpLinks!F82</f>
        <v>81</v>
      </c>
      <c r="H82" s="1">
        <f>UpLinks!G82</f>
        <v>30</v>
      </c>
      <c r="I82" s="1">
        <f>UpLinks!H82</f>
        <v>14</v>
      </c>
      <c r="J82" s="1">
        <f>UpLinks!I82</f>
        <v>2000</v>
      </c>
      <c r="K82" s="6">
        <f>UpLinks!J82</f>
        <v>6.8571428571428568</v>
      </c>
      <c r="L82" s="7">
        <f>UpLinks!K82</f>
        <v>3667.7964882827469</v>
      </c>
      <c r="M82" s="6">
        <f>UpLinks!L82</f>
        <v>18.49131258190171</v>
      </c>
      <c r="N82" s="6">
        <f t="shared" si="3"/>
        <v>1.8338982441413734</v>
      </c>
    </row>
    <row r="83" spans="6:14" x14ac:dyDescent="0.45">
      <c r="F83" s="1" t="str">
        <f t="shared" si="2"/>
        <v>Link 82</v>
      </c>
      <c r="G83" s="1">
        <f>UpLinks!F83</f>
        <v>82</v>
      </c>
      <c r="H83" s="1">
        <f>UpLinks!G83</f>
        <v>30</v>
      </c>
      <c r="I83" s="1">
        <f>UpLinks!H83</f>
        <v>15</v>
      </c>
      <c r="J83" s="1">
        <f>UpLinks!I83</f>
        <v>2000</v>
      </c>
      <c r="K83" s="6">
        <f>UpLinks!J83</f>
        <v>7.7142857142857135</v>
      </c>
      <c r="L83" s="7">
        <f>UpLinks!K83</f>
        <v>1681.3507314140711</v>
      </c>
      <c r="M83" s="6">
        <f>UpLinks!L83</f>
        <v>8.2922490178658297</v>
      </c>
      <c r="N83" s="6">
        <f t="shared" si="3"/>
        <v>0.8406753657070356</v>
      </c>
    </row>
    <row r="84" spans="6:14" x14ac:dyDescent="0.45">
      <c r="F84" s="1" t="str">
        <f t="shared" si="2"/>
        <v>Link 83</v>
      </c>
      <c r="G84" s="1">
        <f>UpLinks!F84</f>
        <v>83</v>
      </c>
      <c r="H84" s="1">
        <f>UpLinks!G84</f>
        <v>30</v>
      </c>
      <c r="I84" s="1">
        <f>UpLinks!H84</f>
        <v>29</v>
      </c>
      <c r="J84" s="1">
        <f>UpLinks!I84</f>
        <v>3500</v>
      </c>
      <c r="K84" s="6">
        <f>UpLinks!J84</f>
        <v>2.7272727272727275</v>
      </c>
      <c r="L84" s="7">
        <f>UpLinks!K84</f>
        <v>9854.087126647255</v>
      </c>
      <c r="M84" s="6">
        <f>UpLinks!L84</f>
        <v>28.43201433772284</v>
      </c>
      <c r="N84" s="6">
        <f t="shared" si="3"/>
        <v>2.8154534647563585</v>
      </c>
    </row>
    <row r="85" spans="6:14" x14ac:dyDescent="0.45">
      <c r="F85" s="1" t="str">
        <f t="shared" si="2"/>
        <v>Link 84</v>
      </c>
      <c r="G85" s="1">
        <f>UpLinks!F85</f>
        <v>84</v>
      </c>
      <c r="H85" s="1">
        <f>UpLinks!G85</f>
        <v>30</v>
      </c>
      <c r="I85" s="1">
        <f>UpLinks!H85</f>
        <v>31</v>
      </c>
      <c r="J85" s="1">
        <f>UpLinks!I85</f>
        <v>3500</v>
      </c>
      <c r="K85" s="6">
        <f>UpLinks!J85</f>
        <v>2.7272727272727275</v>
      </c>
      <c r="L85" s="7">
        <f>UpLinks!K85</f>
        <v>7563.6262973689663</v>
      </c>
      <c r="M85" s="6">
        <f>UpLinks!L85</f>
        <v>11.649389516081975</v>
      </c>
      <c r="N85" s="6">
        <f t="shared" si="3"/>
        <v>2.1610360849625616</v>
      </c>
    </row>
    <row r="86" spans="6:14" x14ac:dyDescent="0.45">
      <c r="F86" s="1" t="str">
        <f t="shared" si="2"/>
        <v>Link 85</v>
      </c>
      <c r="G86" s="1">
        <f>UpLinks!F86</f>
        <v>85</v>
      </c>
      <c r="H86" s="1">
        <f>UpLinks!G86</f>
        <v>31</v>
      </c>
      <c r="I86" s="1">
        <f>UpLinks!H86</f>
        <v>16</v>
      </c>
      <c r="J86" s="1">
        <f>UpLinks!I86</f>
        <v>3500</v>
      </c>
      <c r="K86" s="6">
        <f>UpLinks!J86</f>
        <v>3.8181818181818179</v>
      </c>
      <c r="L86" s="7">
        <f>UpLinks!K86</f>
        <v>1058.9048653699242</v>
      </c>
      <c r="M86" s="6">
        <f>UpLinks!L86</f>
        <v>3.8229802956733461</v>
      </c>
      <c r="N86" s="6">
        <f t="shared" si="3"/>
        <v>0.30254424724854978</v>
      </c>
    </row>
    <row r="87" spans="6:14" x14ac:dyDescent="0.45">
      <c r="F87" s="1" t="str">
        <f t="shared" si="2"/>
        <v>Link 86</v>
      </c>
      <c r="G87" s="1">
        <f>UpLinks!F87</f>
        <v>86</v>
      </c>
      <c r="H87" s="1">
        <f>UpLinks!G87</f>
        <v>31</v>
      </c>
      <c r="I87" s="1">
        <f>UpLinks!H87</f>
        <v>30</v>
      </c>
      <c r="J87" s="1">
        <f>UpLinks!I87</f>
        <v>3500</v>
      </c>
      <c r="K87" s="6">
        <f>UpLinks!J87</f>
        <v>2.7272727272727275</v>
      </c>
      <c r="L87" s="7">
        <f>UpLinks!K87</f>
        <v>7580.8182853698936</v>
      </c>
      <c r="M87" s="6">
        <f>UpLinks!L87</f>
        <v>11.730785760209594</v>
      </c>
      <c r="N87" s="6">
        <f t="shared" si="3"/>
        <v>2.1659480815342551</v>
      </c>
    </row>
    <row r="88" spans="6:14" x14ac:dyDescent="0.45">
      <c r="F88" s="1" t="str">
        <f t="shared" si="2"/>
        <v>Link 87</v>
      </c>
      <c r="G88" s="1">
        <f>UpLinks!F88</f>
        <v>87</v>
      </c>
      <c r="H88" s="1">
        <f>UpLinks!G88</f>
        <v>31</v>
      </c>
      <c r="I88" s="1">
        <f>UpLinks!H88</f>
        <v>32</v>
      </c>
      <c r="J88" s="1">
        <f>UpLinks!I88</f>
        <v>3500</v>
      </c>
      <c r="K88" s="6">
        <f>UpLinks!J88</f>
        <v>1.6363636363636362</v>
      </c>
      <c r="L88" s="7">
        <f>UpLinks!K88</f>
        <v>7935.7102612511035</v>
      </c>
      <c r="M88" s="6">
        <f>UpLinks!L88</f>
        <v>8.1233369851498285</v>
      </c>
      <c r="N88" s="6">
        <f t="shared" si="3"/>
        <v>2.2673457889288868</v>
      </c>
    </row>
    <row r="89" spans="6:14" x14ac:dyDescent="0.45">
      <c r="F89" s="1" t="str">
        <f t="shared" si="2"/>
        <v>Link 88</v>
      </c>
      <c r="G89" s="1">
        <f>UpLinks!F89</f>
        <v>88</v>
      </c>
      <c r="H89" s="1">
        <f>UpLinks!G89</f>
        <v>32</v>
      </c>
      <c r="I89" s="1">
        <f>UpLinks!H89</f>
        <v>17</v>
      </c>
      <c r="J89" s="1">
        <f>UpLinks!I89</f>
        <v>3000</v>
      </c>
      <c r="K89" s="6">
        <f>UpLinks!J89</f>
        <v>1.3333333333333335</v>
      </c>
      <c r="L89" s="7">
        <f>UpLinks!K89</f>
        <v>3611.7538183350352</v>
      </c>
      <c r="M89" s="6">
        <f>UpLinks!L89</f>
        <v>1.7534960758360647</v>
      </c>
      <c r="N89" s="6">
        <f t="shared" si="3"/>
        <v>1.2039179394450117</v>
      </c>
    </row>
    <row r="90" spans="6:14" x14ac:dyDescent="0.45">
      <c r="F90" s="1" t="str">
        <f t="shared" si="2"/>
        <v>Link 89</v>
      </c>
      <c r="G90" s="1">
        <f>UpLinks!F90</f>
        <v>89</v>
      </c>
      <c r="H90" s="1">
        <f>UpLinks!G90</f>
        <v>32</v>
      </c>
      <c r="I90" s="1">
        <f>UpLinks!H90</f>
        <v>31</v>
      </c>
      <c r="J90" s="1">
        <f>UpLinks!I90</f>
        <v>3500</v>
      </c>
      <c r="K90" s="6">
        <f>UpLinks!J90</f>
        <v>1.6363636363636362</v>
      </c>
      <c r="L90" s="7">
        <f>UpLinks!K90</f>
        <v>7768.9032560256592</v>
      </c>
      <c r="M90" s="6">
        <f>UpLinks!L90</f>
        <v>7.5948747667706122</v>
      </c>
      <c r="N90" s="6">
        <f t="shared" si="3"/>
        <v>2.21968664457876</v>
      </c>
    </row>
    <row r="91" spans="6:14" x14ac:dyDescent="0.45">
      <c r="F91" s="1" t="str">
        <f t="shared" si="2"/>
        <v>Link 90</v>
      </c>
      <c r="G91" s="1">
        <f>UpLinks!F91</f>
        <v>90</v>
      </c>
      <c r="H91" s="1">
        <f>UpLinks!G91</f>
        <v>32</v>
      </c>
      <c r="I91" s="1">
        <f>UpLinks!H91</f>
        <v>33</v>
      </c>
      <c r="J91" s="1">
        <f>UpLinks!I91</f>
        <v>3500</v>
      </c>
      <c r="K91" s="6">
        <f>UpLinks!J91</f>
        <v>7.0909090909090908</v>
      </c>
      <c r="L91" s="7">
        <f>UpLinks!K91</f>
        <v>6104.9599273373433</v>
      </c>
      <c r="M91" s="6">
        <f>UpLinks!L91</f>
        <v>16.936737655991415</v>
      </c>
      <c r="N91" s="6">
        <f t="shared" si="3"/>
        <v>1.7442742649535266</v>
      </c>
    </row>
    <row r="92" spans="6:14" x14ac:dyDescent="0.45">
      <c r="F92" s="1" t="str">
        <f t="shared" si="2"/>
        <v>Link 91</v>
      </c>
      <c r="G92" s="1">
        <f>UpLinks!F92</f>
        <v>91</v>
      </c>
      <c r="H92" s="1">
        <f>UpLinks!G92</f>
        <v>33</v>
      </c>
      <c r="I92" s="1">
        <f>UpLinks!H92</f>
        <v>18</v>
      </c>
      <c r="J92" s="1">
        <f>UpLinks!I92</f>
        <v>3500</v>
      </c>
      <c r="K92" s="6">
        <f>UpLinks!J92</f>
        <v>2.1818181818181817</v>
      </c>
      <c r="L92" s="7">
        <f>UpLinks!K92</f>
        <v>5819.0278737200915</v>
      </c>
      <c r="M92" s="6">
        <f>UpLinks!L92</f>
        <v>4.6823903221481737</v>
      </c>
      <c r="N92" s="6">
        <f t="shared" si="3"/>
        <v>1.6625793924914547</v>
      </c>
    </row>
    <row r="93" spans="6:14" x14ac:dyDescent="0.45">
      <c r="F93" s="1" t="str">
        <f t="shared" si="2"/>
        <v>Link 92</v>
      </c>
      <c r="G93" s="1">
        <f>UpLinks!F93</f>
        <v>92</v>
      </c>
      <c r="H93" s="1">
        <f>UpLinks!G93</f>
        <v>33</v>
      </c>
      <c r="I93" s="1">
        <f>UpLinks!H93</f>
        <v>32</v>
      </c>
      <c r="J93" s="1">
        <f>UpLinks!I93</f>
        <v>3500</v>
      </c>
      <c r="K93" s="6">
        <f>UpLinks!J93</f>
        <v>7.0909090909090908</v>
      </c>
      <c r="L93" s="7">
        <f>UpLinks!K93</f>
        <v>5903.034242158742</v>
      </c>
      <c r="M93" s="6">
        <f>UpLinks!L93</f>
        <v>15.697322608807699</v>
      </c>
      <c r="N93" s="6">
        <f t="shared" si="3"/>
        <v>1.6865812120453549</v>
      </c>
    </row>
    <row r="94" spans="6:14" x14ac:dyDescent="0.45">
      <c r="F94" s="1" t="str">
        <f t="shared" si="2"/>
        <v>Link 93</v>
      </c>
      <c r="G94" s="1">
        <f>UpLinks!F94</f>
        <v>93</v>
      </c>
      <c r="H94" s="1">
        <f>UpLinks!G94</f>
        <v>33</v>
      </c>
      <c r="I94" s="1">
        <f>UpLinks!H94</f>
        <v>34</v>
      </c>
      <c r="J94" s="1">
        <f>UpLinks!I94</f>
        <v>3000</v>
      </c>
      <c r="K94" s="6">
        <f>UpLinks!J94</f>
        <v>2.666666666666667</v>
      </c>
      <c r="L94" s="7">
        <f>UpLinks!K94</f>
        <v>3398.278148911606</v>
      </c>
      <c r="M94" s="6">
        <f>UpLinks!L94</f>
        <v>3.3252498914883839</v>
      </c>
      <c r="N94" s="6">
        <f t="shared" si="3"/>
        <v>1.1327593829705354</v>
      </c>
    </row>
    <row r="95" spans="6:14" x14ac:dyDescent="0.45">
      <c r="F95" s="1" t="str">
        <f t="shared" si="2"/>
        <v>Link 94</v>
      </c>
      <c r="G95" s="1">
        <f>UpLinks!F95</f>
        <v>94</v>
      </c>
      <c r="H95" s="1">
        <f>UpLinks!G95</f>
        <v>33</v>
      </c>
      <c r="I95" s="1">
        <f>UpLinks!H95</f>
        <v>42</v>
      </c>
      <c r="J95" s="1">
        <f>UpLinks!I95</f>
        <v>3500</v>
      </c>
      <c r="K95" s="6">
        <f>UpLinks!J95</f>
        <v>4.3636363636363633</v>
      </c>
      <c r="L95" s="7">
        <f>UpLinks!K95</f>
        <v>8549.4341470080381</v>
      </c>
      <c r="M95" s="6">
        <f>UpLinks!L95</f>
        <v>27.666919918183105</v>
      </c>
      <c r="N95" s="6">
        <f t="shared" si="3"/>
        <v>2.4426954705737249</v>
      </c>
    </row>
    <row r="96" spans="6:14" x14ac:dyDescent="0.45">
      <c r="F96" s="1" t="str">
        <f t="shared" si="2"/>
        <v>Link 95</v>
      </c>
      <c r="G96" s="1">
        <f>UpLinks!F96</f>
        <v>95</v>
      </c>
      <c r="H96" s="1">
        <f>UpLinks!G96</f>
        <v>34</v>
      </c>
      <c r="I96" s="1">
        <f>UpLinks!H96</f>
        <v>19</v>
      </c>
      <c r="J96" s="1">
        <f>UpLinks!I96</f>
        <v>3500</v>
      </c>
      <c r="K96" s="6">
        <f>UpLinks!J96</f>
        <v>3.2727272727272725</v>
      </c>
      <c r="L96" s="7">
        <f>UpLinks!K96</f>
        <v>733.66558286308702</v>
      </c>
      <c r="M96" s="6">
        <f>UpLinks!L96</f>
        <v>3.2736750831547901</v>
      </c>
      <c r="N96" s="6">
        <f t="shared" si="3"/>
        <v>0.20961873796088201</v>
      </c>
    </row>
    <row r="97" spans="6:14" x14ac:dyDescent="0.45">
      <c r="F97" s="1" t="str">
        <f t="shared" si="2"/>
        <v>Link 96</v>
      </c>
      <c r="G97" s="1">
        <f>UpLinks!F97</f>
        <v>96</v>
      </c>
      <c r="H97" s="1">
        <f>UpLinks!G97</f>
        <v>34</v>
      </c>
      <c r="I97" s="1">
        <f>UpLinks!H97</f>
        <v>33</v>
      </c>
      <c r="J97" s="1">
        <f>UpLinks!I97</f>
        <v>3000</v>
      </c>
      <c r="K97" s="6">
        <f>UpLinks!J97</f>
        <v>2.666666666666667</v>
      </c>
      <c r="L97" s="7">
        <f>UpLinks!K97</f>
        <v>3200.3014709381782</v>
      </c>
      <c r="M97" s="6">
        <f>UpLinks!L97</f>
        <v>3.1846771357190979</v>
      </c>
      <c r="N97" s="6">
        <f t="shared" si="3"/>
        <v>1.0667671569793928</v>
      </c>
    </row>
    <row r="98" spans="6:14" x14ac:dyDescent="0.45">
      <c r="F98" s="1" t="str">
        <f t="shared" si="2"/>
        <v>Link 97</v>
      </c>
      <c r="G98" s="1">
        <f>UpLinks!F98</f>
        <v>97</v>
      </c>
      <c r="H98" s="1">
        <f>UpLinks!G98</f>
        <v>34</v>
      </c>
      <c r="I98" s="1">
        <f>UpLinks!H98</f>
        <v>35</v>
      </c>
      <c r="J98" s="1">
        <f>UpLinks!I98</f>
        <v>3000</v>
      </c>
      <c r="K98" s="6">
        <f>UpLinks!J98</f>
        <v>2</v>
      </c>
      <c r="L98" s="7">
        <f>UpLinks!K98</f>
        <v>3290.0630725085571</v>
      </c>
      <c r="M98" s="6">
        <f>UpLinks!L98</f>
        <v>2.4339634275617885</v>
      </c>
      <c r="N98" s="6">
        <f t="shared" si="3"/>
        <v>1.0966876908361858</v>
      </c>
    </row>
    <row r="99" spans="6:14" x14ac:dyDescent="0.45">
      <c r="F99" s="1" t="str">
        <f t="shared" si="2"/>
        <v>Link 98</v>
      </c>
      <c r="G99" s="1">
        <f>UpLinks!F99</f>
        <v>98</v>
      </c>
      <c r="H99" s="1">
        <f>UpLinks!G99</f>
        <v>35</v>
      </c>
      <c r="I99" s="1">
        <f>UpLinks!H99</f>
        <v>20</v>
      </c>
      <c r="J99" s="1">
        <f>UpLinks!I99</f>
        <v>3000</v>
      </c>
      <c r="K99" s="6">
        <f>UpLinks!J99</f>
        <v>5.3333333333333339</v>
      </c>
      <c r="L99" s="7">
        <f>UpLinks!K99</f>
        <v>0</v>
      </c>
      <c r="M99" s="6">
        <f>UpLinks!L99</f>
        <v>5.3333333333333339</v>
      </c>
      <c r="N99" s="6">
        <f t="shared" si="3"/>
        <v>0</v>
      </c>
    </row>
    <row r="100" spans="6:14" x14ac:dyDescent="0.45">
      <c r="F100" s="1" t="str">
        <f t="shared" si="2"/>
        <v>Link 99</v>
      </c>
      <c r="G100" s="1">
        <f>UpLinks!F100</f>
        <v>99</v>
      </c>
      <c r="H100" s="1">
        <f>UpLinks!G100</f>
        <v>35</v>
      </c>
      <c r="I100" s="1">
        <f>UpLinks!H100</f>
        <v>34</v>
      </c>
      <c r="J100" s="1">
        <f>UpLinks!I100</f>
        <v>3000</v>
      </c>
      <c r="K100" s="6">
        <f>UpLinks!J100</f>
        <v>2</v>
      </c>
      <c r="L100" s="7">
        <f>UpLinks!K100</f>
        <v>2927.4935260332336</v>
      </c>
      <c r="M100" s="6">
        <f>UpLinks!L100</f>
        <v>2.2720320091866677</v>
      </c>
      <c r="N100" s="6">
        <f t="shared" si="3"/>
        <v>0.97583117534441122</v>
      </c>
    </row>
    <row r="101" spans="6:14" x14ac:dyDescent="0.45">
      <c r="F101" s="1" t="str">
        <f t="shared" si="2"/>
        <v>Link 100</v>
      </c>
      <c r="G101" s="1">
        <f>UpLinks!F101</f>
        <v>100</v>
      </c>
      <c r="H101" s="1">
        <f>UpLinks!G101</f>
        <v>35</v>
      </c>
      <c r="I101" s="1">
        <f>UpLinks!H101</f>
        <v>36</v>
      </c>
      <c r="J101" s="1">
        <f>UpLinks!I101</f>
        <v>2000</v>
      </c>
      <c r="K101" s="6">
        <f>UpLinks!J101</f>
        <v>8.5714285714285712</v>
      </c>
      <c r="L101" s="7">
        <f>UpLinks!K101</f>
        <v>3290.0630725085571</v>
      </c>
      <c r="M101" s="6">
        <f>UpLinks!L101</f>
        <v>17.986885080135224</v>
      </c>
      <c r="N101" s="6">
        <f t="shared" si="3"/>
        <v>1.6450315362542784</v>
      </c>
    </row>
    <row r="102" spans="6:14" x14ac:dyDescent="0.45">
      <c r="F102" s="1" t="str">
        <f t="shared" si="2"/>
        <v>Link 101</v>
      </c>
      <c r="G102" s="1">
        <f>UpLinks!F102</f>
        <v>101</v>
      </c>
      <c r="H102" s="1">
        <f>UpLinks!G102</f>
        <v>36</v>
      </c>
      <c r="I102" s="1">
        <f>UpLinks!H102</f>
        <v>21</v>
      </c>
      <c r="J102" s="1">
        <f>UpLinks!I102</f>
        <v>3500</v>
      </c>
      <c r="K102" s="6">
        <f>UpLinks!J102</f>
        <v>4.9090909090909092</v>
      </c>
      <c r="L102" s="7">
        <f>UpLinks!K102</f>
        <v>4826.0267020678793</v>
      </c>
      <c r="M102" s="6">
        <f>UpLinks!L102</f>
        <v>7.570913081500219</v>
      </c>
      <c r="N102" s="6">
        <f t="shared" si="3"/>
        <v>1.3788647720193941</v>
      </c>
    </row>
    <row r="103" spans="6:14" x14ac:dyDescent="0.45">
      <c r="F103" s="1" t="str">
        <f t="shared" si="2"/>
        <v>Link 102</v>
      </c>
      <c r="G103" s="1">
        <f>UpLinks!F103</f>
        <v>102</v>
      </c>
      <c r="H103" s="1">
        <f>UpLinks!G103</f>
        <v>36</v>
      </c>
      <c r="I103" s="1">
        <f>UpLinks!H103</f>
        <v>35</v>
      </c>
      <c r="J103" s="1">
        <f>UpLinks!I103</f>
        <v>2000</v>
      </c>
      <c r="K103" s="6">
        <f>UpLinks!J103</f>
        <v>8.5714285714285712</v>
      </c>
      <c r="L103" s="7">
        <f>UpLinks!K103</f>
        <v>2927.4935260332336</v>
      </c>
      <c r="M103" s="6">
        <f>UpLinks!L103</f>
        <v>14.473551627889305</v>
      </c>
      <c r="N103" s="6">
        <f t="shared" si="3"/>
        <v>1.4637467630166168</v>
      </c>
    </row>
    <row r="104" spans="6:14" x14ac:dyDescent="0.45">
      <c r="F104" s="1" t="str">
        <f t="shared" si="2"/>
        <v>Link 103</v>
      </c>
      <c r="G104" s="1">
        <f>UpLinks!F104</f>
        <v>103</v>
      </c>
      <c r="H104" s="1">
        <f>UpLinks!G104</f>
        <v>36</v>
      </c>
      <c r="I104" s="1">
        <f>UpLinks!H104</f>
        <v>37</v>
      </c>
      <c r="J104" s="1">
        <f>UpLinks!I104</f>
        <v>2000</v>
      </c>
      <c r="K104" s="6">
        <f>UpLinks!J104</f>
        <v>0.8571428571428571</v>
      </c>
      <c r="L104" s="7">
        <f>UpLinks!K104</f>
        <v>2522.1284548451567</v>
      </c>
      <c r="M104" s="6">
        <f>UpLinks!L104</f>
        <v>1.1822999967290004</v>
      </c>
      <c r="N104" s="6">
        <f t="shared" si="3"/>
        <v>1.2610642274225783</v>
      </c>
    </row>
    <row r="105" spans="6:14" x14ac:dyDescent="0.45">
      <c r="F105" s="1" t="str">
        <f t="shared" si="2"/>
        <v>Link 104</v>
      </c>
      <c r="G105" s="1">
        <f>UpLinks!F105</f>
        <v>104</v>
      </c>
      <c r="H105" s="1">
        <f>UpLinks!G105</f>
        <v>36</v>
      </c>
      <c r="I105" s="1">
        <f>UpLinks!H105</f>
        <v>43</v>
      </c>
      <c r="J105" s="1">
        <f>UpLinks!I105</f>
        <v>3500</v>
      </c>
      <c r="K105" s="6">
        <f>UpLinks!J105</f>
        <v>3.2727272727272725</v>
      </c>
      <c r="L105" s="7">
        <f>UpLinks!K105</f>
        <v>7735.9172619418323</v>
      </c>
      <c r="M105" s="6">
        <f>UpLinks!L105</f>
        <v>14.988640919151752</v>
      </c>
      <c r="N105" s="6">
        <f t="shared" si="3"/>
        <v>2.2102620748405237</v>
      </c>
    </row>
    <row r="106" spans="6:14" x14ac:dyDescent="0.45">
      <c r="F106" s="1" t="str">
        <f t="shared" si="2"/>
        <v>Link 105</v>
      </c>
      <c r="G106" s="1">
        <f>UpLinks!F106</f>
        <v>105</v>
      </c>
      <c r="H106" s="1">
        <f>UpLinks!G106</f>
        <v>37</v>
      </c>
      <c r="I106" s="1">
        <f>UpLinks!H106</f>
        <v>22</v>
      </c>
      <c r="J106" s="1">
        <f>UpLinks!I106</f>
        <v>3000</v>
      </c>
      <c r="K106" s="6">
        <f>UpLinks!J106</f>
        <v>6.6666666666666661</v>
      </c>
      <c r="L106" s="7">
        <f>UpLinks!K106</f>
        <v>0</v>
      </c>
      <c r="M106" s="6">
        <f>UpLinks!L106</f>
        <v>6.6666666666666661</v>
      </c>
      <c r="N106" s="6">
        <f t="shared" si="3"/>
        <v>0</v>
      </c>
    </row>
    <row r="107" spans="6:14" x14ac:dyDescent="0.45">
      <c r="F107" s="1" t="str">
        <f t="shared" si="2"/>
        <v>Link 106</v>
      </c>
      <c r="G107" s="1">
        <f>UpLinks!F107</f>
        <v>106</v>
      </c>
      <c r="H107" s="1">
        <f>UpLinks!G107</f>
        <v>37</v>
      </c>
      <c r="I107" s="1">
        <f>UpLinks!H107</f>
        <v>36</v>
      </c>
      <c r="J107" s="1">
        <f>UpLinks!I107</f>
        <v>2000</v>
      </c>
      <c r="K107" s="6">
        <f>UpLinks!J107</f>
        <v>0.8571428571428571</v>
      </c>
      <c r="L107" s="7">
        <f>UpLinks!K107</f>
        <v>2380.5129689769406</v>
      </c>
      <c r="M107" s="6">
        <f>UpLinks!L107</f>
        <v>1.1151945391199438</v>
      </c>
      <c r="N107" s="6">
        <f t="shared" si="3"/>
        <v>1.1902564844884702</v>
      </c>
    </row>
    <row r="108" spans="6:14" x14ac:dyDescent="0.45">
      <c r="F108" s="1" t="str">
        <f t="shared" si="2"/>
        <v>Link 107</v>
      </c>
      <c r="G108" s="1">
        <f>UpLinks!F108</f>
        <v>107</v>
      </c>
      <c r="H108" s="1">
        <f>UpLinks!G108</f>
        <v>37</v>
      </c>
      <c r="I108" s="1">
        <f>UpLinks!H108</f>
        <v>38</v>
      </c>
      <c r="J108" s="1">
        <f>UpLinks!I108</f>
        <v>2000</v>
      </c>
      <c r="K108" s="6">
        <f>UpLinks!J108</f>
        <v>1.7142857142857142</v>
      </c>
      <c r="L108" s="7">
        <f>UpLinks!K108</f>
        <v>4546.7579889124854</v>
      </c>
      <c r="M108" s="6">
        <f>UpLinks!L108</f>
        <v>8.5827846713564551</v>
      </c>
      <c r="N108" s="6">
        <f t="shared" si="3"/>
        <v>2.2733789944562428</v>
      </c>
    </row>
    <row r="109" spans="6:14" x14ac:dyDescent="0.45">
      <c r="F109" s="1" t="str">
        <f t="shared" si="2"/>
        <v>Link 108</v>
      </c>
      <c r="G109" s="1">
        <f>UpLinks!F109</f>
        <v>108</v>
      </c>
      <c r="H109" s="1">
        <f>UpLinks!G109</f>
        <v>37</v>
      </c>
      <c r="I109" s="1">
        <f>UpLinks!H109</f>
        <v>44</v>
      </c>
      <c r="J109" s="1">
        <f>UpLinks!I109</f>
        <v>3000</v>
      </c>
      <c r="K109" s="6">
        <f>UpLinks!J109</f>
        <v>4</v>
      </c>
      <c r="L109" s="7">
        <f>UpLinks!K109</f>
        <v>2310.3467291313218</v>
      </c>
      <c r="M109" s="6">
        <f>UpLinks!L109</f>
        <v>4.2110449091468949</v>
      </c>
      <c r="N109" s="6">
        <f t="shared" si="3"/>
        <v>0.77011557637710726</v>
      </c>
    </row>
    <row r="110" spans="6:14" x14ac:dyDescent="0.45">
      <c r="F110" s="1" t="str">
        <f t="shared" si="2"/>
        <v>Link 109</v>
      </c>
      <c r="G110" s="1">
        <f>UpLinks!F110</f>
        <v>109</v>
      </c>
      <c r="H110" s="1">
        <f>UpLinks!G110</f>
        <v>38</v>
      </c>
      <c r="I110" s="1">
        <f>UpLinks!H110</f>
        <v>23</v>
      </c>
      <c r="J110" s="1">
        <f>UpLinks!I110</f>
        <v>3000</v>
      </c>
      <c r="K110" s="6">
        <f>UpLinks!J110</f>
        <v>5.3333333333333339</v>
      </c>
      <c r="L110" s="7">
        <f>UpLinks!K110</f>
        <v>2250.2148352927452</v>
      </c>
      <c r="M110" s="6">
        <f>UpLinks!L110</f>
        <v>5.5865550230622114</v>
      </c>
      <c r="N110" s="6">
        <f t="shared" si="3"/>
        <v>0.75007161176424841</v>
      </c>
    </row>
    <row r="111" spans="6:14" x14ac:dyDescent="0.45">
      <c r="F111" s="1" t="str">
        <f t="shared" si="2"/>
        <v>Link 110</v>
      </c>
      <c r="G111" s="1">
        <f>UpLinks!F111</f>
        <v>110</v>
      </c>
      <c r="H111" s="1">
        <f>UpLinks!G111</f>
        <v>38</v>
      </c>
      <c r="I111" s="1">
        <f>UpLinks!H111</f>
        <v>26</v>
      </c>
      <c r="J111" s="1">
        <f>UpLinks!I111</f>
        <v>2000</v>
      </c>
      <c r="K111" s="6">
        <f>UpLinks!J111</f>
        <v>1.7142857142857142</v>
      </c>
      <c r="L111" s="7">
        <f>UpLinks!K111</f>
        <v>1905.565959752922</v>
      </c>
      <c r="M111" s="6">
        <f>UpLinks!L111</f>
        <v>1.9261952144148928</v>
      </c>
      <c r="N111" s="6">
        <f t="shared" si="3"/>
        <v>0.95278297987646099</v>
      </c>
    </row>
    <row r="112" spans="6:14" x14ac:dyDescent="0.45">
      <c r="F112" s="1" t="str">
        <f t="shared" si="2"/>
        <v>Link 111</v>
      </c>
      <c r="G112" s="1">
        <f>UpLinks!F112</f>
        <v>111</v>
      </c>
      <c r="H112" s="1">
        <f>UpLinks!G112</f>
        <v>38</v>
      </c>
      <c r="I112" s="1">
        <f>UpLinks!H112</f>
        <v>37</v>
      </c>
      <c r="J112" s="1">
        <f>UpLinks!I112</f>
        <v>2000</v>
      </c>
      <c r="K112" s="6">
        <f>UpLinks!J112</f>
        <v>1.7142857142857142</v>
      </c>
      <c r="L112" s="7">
        <f>UpLinks!K112</f>
        <v>4424.2799354716262</v>
      </c>
      <c r="M112" s="6">
        <f>UpLinks!L112</f>
        <v>7.8720757250805393</v>
      </c>
      <c r="N112" s="6">
        <f t="shared" si="3"/>
        <v>2.2121399677358129</v>
      </c>
    </row>
    <row r="113" spans="6:14" x14ac:dyDescent="0.45">
      <c r="F113" s="1" t="str">
        <f t="shared" si="2"/>
        <v>Link 112</v>
      </c>
      <c r="G113" s="1">
        <f>UpLinks!F113</f>
        <v>112</v>
      </c>
      <c r="H113" s="1">
        <f>UpLinks!G113</f>
        <v>38</v>
      </c>
      <c r="I113" s="1">
        <f>UpLinks!H113</f>
        <v>39</v>
      </c>
      <c r="J113" s="1">
        <f>UpLinks!I113</f>
        <v>3000</v>
      </c>
      <c r="K113" s="6">
        <f>UpLinks!J113</f>
        <v>4</v>
      </c>
      <c r="L113" s="7">
        <f>UpLinks!K113</f>
        <v>1616.9685623188177</v>
      </c>
      <c r="M113" s="6">
        <f>UpLinks!L113</f>
        <v>4.0506375326976558</v>
      </c>
      <c r="N113" s="6">
        <f t="shared" si="3"/>
        <v>0.53898952077293927</v>
      </c>
    </row>
    <row r="114" spans="6:14" x14ac:dyDescent="0.45">
      <c r="F114" s="1" t="str">
        <f t="shared" si="2"/>
        <v>Link 113</v>
      </c>
      <c r="G114" s="1">
        <f>UpLinks!F114</f>
        <v>113</v>
      </c>
      <c r="H114" s="1">
        <f>UpLinks!G114</f>
        <v>39</v>
      </c>
      <c r="I114" s="1">
        <f>UpLinks!H114</f>
        <v>27</v>
      </c>
      <c r="J114" s="1">
        <f>UpLinks!I114</f>
        <v>3000</v>
      </c>
      <c r="K114" s="6">
        <f>UpLinks!J114</f>
        <v>0.66666666666666674</v>
      </c>
      <c r="L114" s="7">
        <f>UpLinks!K114</f>
        <v>7890.636813026078</v>
      </c>
      <c r="M114" s="6">
        <f>UpLinks!L114</f>
        <v>5.4525620213995163</v>
      </c>
      <c r="N114" s="6">
        <f t="shared" si="3"/>
        <v>2.6302122710086926</v>
      </c>
    </row>
    <row r="115" spans="6:14" x14ac:dyDescent="0.45">
      <c r="F115" s="1" t="str">
        <f t="shared" si="2"/>
        <v>Link 114</v>
      </c>
      <c r="G115" s="1">
        <f>UpLinks!F115</f>
        <v>114</v>
      </c>
      <c r="H115" s="1">
        <f>UpLinks!G115</f>
        <v>39</v>
      </c>
      <c r="I115" s="1">
        <f>UpLinks!H115</f>
        <v>38</v>
      </c>
      <c r="J115" s="1">
        <f>UpLinks!I115</f>
        <v>3000</v>
      </c>
      <c r="K115" s="6">
        <f>UpLinks!J115</f>
        <v>4</v>
      </c>
      <c r="L115" s="7">
        <f>UpLinks!K115</f>
        <v>1460.9883906062817</v>
      </c>
      <c r="M115" s="6">
        <f>UpLinks!L115</f>
        <v>4.0337484080293047</v>
      </c>
      <c r="N115" s="6">
        <f t="shared" si="3"/>
        <v>0.48699613020209387</v>
      </c>
    </row>
    <row r="116" spans="6:14" x14ac:dyDescent="0.45">
      <c r="F116" s="1" t="str">
        <f t="shared" si="2"/>
        <v>Link 115</v>
      </c>
      <c r="G116" s="1">
        <f>UpLinks!F116</f>
        <v>115</v>
      </c>
      <c r="H116" s="1">
        <f>UpLinks!G116</f>
        <v>39</v>
      </c>
      <c r="I116" s="1">
        <f>UpLinks!H116</f>
        <v>40</v>
      </c>
      <c r="J116" s="1">
        <f>UpLinks!I116</f>
        <v>3000</v>
      </c>
      <c r="K116" s="6">
        <f>UpLinks!J116</f>
        <v>3.333333333333333</v>
      </c>
      <c r="L116" s="7">
        <f>UpLinks!K116</f>
        <v>3096.1226531728671</v>
      </c>
      <c r="M116" s="6">
        <f>UpLinks!L116</f>
        <v>3.9005612714202158</v>
      </c>
      <c r="N116" s="6">
        <f t="shared" si="3"/>
        <v>1.0320408843909556</v>
      </c>
    </row>
    <row r="117" spans="6:14" x14ac:dyDescent="0.45">
      <c r="F117" s="1" t="str">
        <f t="shared" si="2"/>
        <v>Link 116</v>
      </c>
      <c r="G117" s="1">
        <f>UpLinks!F117</f>
        <v>116</v>
      </c>
      <c r="H117" s="1">
        <f>UpLinks!G117</f>
        <v>39</v>
      </c>
      <c r="I117" s="1">
        <f>UpLinks!H117</f>
        <v>44</v>
      </c>
      <c r="J117" s="1">
        <f>UpLinks!I117</f>
        <v>3000</v>
      </c>
      <c r="K117" s="6">
        <f>UpLinks!J117</f>
        <v>1.3333333333333335</v>
      </c>
      <c r="L117" s="7">
        <f>UpLinks!K117</f>
        <v>6816.0990912582447</v>
      </c>
      <c r="M117" s="6">
        <f>UpLinks!L117</f>
        <v>6.6628590086804218</v>
      </c>
      <c r="N117" s="6">
        <f t="shared" si="3"/>
        <v>2.272033030419415</v>
      </c>
    </row>
    <row r="118" spans="6:14" x14ac:dyDescent="0.45">
      <c r="F118" s="1" t="str">
        <f t="shared" si="2"/>
        <v>Link 117</v>
      </c>
      <c r="G118" s="1">
        <f>UpLinks!F118</f>
        <v>117</v>
      </c>
      <c r="H118" s="1">
        <f>UpLinks!G118</f>
        <v>40</v>
      </c>
      <c r="I118" s="1">
        <f>UpLinks!H118</f>
        <v>28</v>
      </c>
      <c r="J118" s="1">
        <f>UpLinks!I118</f>
        <v>3500</v>
      </c>
      <c r="K118" s="6">
        <f>UpLinks!J118</f>
        <v>0.54545454545454541</v>
      </c>
      <c r="L118" s="7">
        <f>UpLinks!K118</f>
        <v>9941.9688883373237</v>
      </c>
      <c r="M118" s="6">
        <f>UpLinks!L118</f>
        <v>5.8722650303204063</v>
      </c>
      <c r="N118" s="6">
        <f t="shared" si="3"/>
        <v>2.8405625395249499</v>
      </c>
    </row>
    <row r="119" spans="6:14" x14ac:dyDescent="0.45">
      <c r="F119" s="1" t="str">
        <f t="shared" si="2"/>
        <v>Link 118</v>
      </c>
      <c r="G119" s="1">
        <f>UpLinks!F119</f>
        <v>118</v>
      </c>
      <c r="H119" s="1">
        <f>UpLinks!G119</f>
        <v>40</v>
      </c>
      <c r="I119" s="1">
        <f>UpLinks!H119</f>
        <v>39</v>
      </c>
      <c r="J119" s="1">
        <f>UpLinks!I119</f>
        <v>3000</v>
      </c>
      <c r="K119" s="6">
        <f>UpLinks!J119</f>
        <v>3.333333333333333</v>
      </c>
      <c r="L119" s="7">
        <f>UpLinks!K119</f>
        <v>3085.6952100681492</v>
      </c>
      <c r="M119" s="6">
        <f>UpLinks!L119</f>
        <v>3.8929583120463058</v>
      </c>
      <c r="N119" s="6">
        <f t="shared" si="3"/>
        <v>1.0285650700227165</v>
      </c>
    </row>
    <row r="120" spans="6:14" x14ac:dyDescent="0.45">
      <c r="F120" s="1" t="str">
        <f t="shared" si="2"/>
        <v>Link 119</v>
      </c>
      <c r="G120" s="1">
        <f>UpLinks!F120</f>
        <v>119</v>
      </c>
      <c r="H120" s="1">
        <f>UpLinks!G120</f>
        <v>40</v>
      </c>
      <c r="I120" s="1">
        <f>UpLinks!H120</f>
        <v>41</v>
      </c>
      <c r="J120" s="1">
        <f>UpLinks!I120</f>
        <v>3500</v>
      </c>
      <c r="K120" s="6">
        <f>UpLinks!J120</f>
        <v>1.0909090909090908</v>
      </c>
      <c r="L120" s="7">
        <f>UpLinks!K120</f>
        <v>9160.736762759032</v>
      </c>
      <c r="M120" s="6">
        <f>UpLinks!L120</f>
        <v>8.7703438885234437</v>
      </c>
      <c r="N120" s="6">
        <f t="shared" si="3"/>
        <v>2.6173533607882948</v>
      </c>
    </row>
    <row r="121" spans="6:14" x14ac:dyDescent="0.45">
      <c r="F121" s="1" t="str">
        <f t="shared" si="2"/>
        <v>Link 120</v>
      </c>
      <c r="G121" s="1">
        <f>UpLinks!F121</f>
        <v>120</v>
      </c>
      <c r="H121" s="1">
        <f>UpLinks!G121</f>
        <v>41</v>
      </c>
      <c r="I121" s="1">
        <f>UpLinks!H121</f>
        <v>40</v>
      </c>
      <c r="J121" s="1">
        <f>UpLinks!I121</f>
        <v>3500</v>
      </c>
      <c r="K121" s="6">
        <f>UpLinks!J121</f>
        <v>1.0909090909090908</v>
      </c>
      <c r="L121" s="7">
        <f>UpLinks!K121</f>
        <v>9140.1879242947562</v>
      </c>
      <c r="M121" s="6">
        <f>UpLinks!L121</f>
        <v>8.7016711171965078</v>
      </c>
      <c r="N121" s="6">
        <f t="shared" si="3"/>
        <v>2.6114822640842159</v>
      </c>
    </row>
    <row r="122" spans="6:14" x14ac:dyDescent="0.45">
      <c r="F122" s="1" t="str">
        <f t="shared" si="2"/>
        <v>Link 121</v>
      </c>
      <c r="G122" s="1">
        <f>UpLinks!F122</f>
        <v>121</v>
      </c>
      <c r="H122" s="1">
        <f>UpLinks!G122</f>
        <v>41</v>
      </c>
      <c r="I122" s="1">
        <f>UpLinks!H122</f>
        <v>42</v>
      </c>
      <c r="J122" s="1">
        <f>UpLinks!I122</f>
        <v>3500</v>
      </c>
      <c r="K122" s="6">
        <f>UpLinks!J122</f>
        <v>1.0909090909090908</v>
      </c>
      <c r="L122" s="7">
        <f>UpLinks!K122</f>
        <v>8744.4742136924815</v>
      </c>
      <c r="M122" s="6">
        <f>UpLinks!L122</f>
        <v>7.4668230563267786</v>
      </c>
      <c r="N122" s="6">
        <f t="shared" si="3"/>
        <v>2.4984212039121374</v>
      </c>
    </row>
    <row r="123" spans="6:14" x14ac:dyDescent="0.45">
      <c r="F123" s="1" t="str">
        <f t="shared" si="2"/>
        <v>Link 122</v>
      </c>
      <c r="G123" s="1">
        <f>UpLinks!F123</f>
        <v>122</v>
      </c>
      <c r="H123" s="1">
        <f>UpLinks!G123</f>
        <v>41</v>
      </c>
      <c r="I123" s="1">
        <f>UpLinks!H123</f>
        <v>44</v>
      </c>
      <c r="J123" s="1">
        <f>UpLinks!I123</f>
        <v>3000</v>
      </c>
      <c r="K123" s="6">
        <f>UpLinks!J123</f>
        <v>2.666666666666667</v>
      </c>
      <c r="L123" s="7">
        <f>UpLinks!K123</f>
        <v>1211.3244302638564</v>
      </c>
      <c r="M123" s="6">
        <f>UpLinks!L123</f>
        <v>2.6772987134146242</v>
      </c>
      <c r="N123" s="6">
        <f t="shared" si="3"/>
        <v>0.40377481008795213</v>
      </c>
    </row>
    <row r="124" spans="6:14" x14ac:dyDescent="0.45">
      <c r="F124" s="1" t="str">
        <f t="shared" si="2"/>
        <v>Link 123</v>
      </c>
      <c r="G124" s="1">
        <f>UpLinks!F124</f>
        <v>123</v>
      </c>
      <c r="H124" s="1">
        <f>UpLinks!G124</f>
        <v>42</v>
      </c>
      <c r="I124" s="1">
        <f>UpLinks!H124</f>
        <v>33</v>
      </c>
      <c r="J124" s="1">
        <f>UpLinks!I124</f>
        <v>3500</v>
      </c>
      <c r="K124" s="6">
        <f>UpLinks!J124</f>
        <v>4.3636363636363633</v>
      </c>
      <c r="L124" s="7">
        <f>UpLinks!K124</f>
        <v>8747.7185288038509</v>
      </c>
      <c r="M124" s="6">
        <f>UpLinks!L124</f>
        <v>29.905162063092462</v>
      </c>
      <c r="N124" s="6">
        <f t="shared" si="3"/>
        <v>2.4993481510868145</v>
      </c>
    </row>
    <row r="125" spans="6:14" x14ac:dyDescent="0.45">
      <c r="F125" s="1" t="str">
        <f t="shared" si="2"/>
        <v>Link 124</v>
      </c>
      <c r="G125" s="1">
        <f>UpLinks!F125</f>
        <v>124</v>
      </c>
      <c r="H125" s="1">
        <f>UpLinks!G125</f>
        <v>42</v>
      </c>
      <c r="I125" s="1">
        <f>UpLinks!H125</f>
        <v>41</v>
      </c>
      <c r="J125" s="1">
        <f>UpLinks!I125</f>
        <v>3500</v>
      </c>
      <c r="K125" s="6">
        <f>UpLinks!J125</f>
        <v>1.0909090909090908</v>
      </c>
      <c r="L125" s="7">
        <f>UpLinks!K125</f>
        <v>8721.0416219813887</v>
      </c>
      <c r="M125" s="6">
        <f>UpLinks!L125</f>
        <v>7.3987550540669984</v>
      </c>
      <c r="N125" s="6">
        <f t="shared" si="3"/>
        <v>2.4917261777089683</v>
      </c>
    </row>
    <row r="126" spans="6:14" x14ac:dyDescent="0.45">
      <c r="F126" s="1" t="str">
        <f t="shared" si="2"/>
        <v>Link 125</v>
      </c>
      <c r="G126" s="1">
        <f>UpLinks!F126</f>
        <v>125</v>
      </c>
      <c r="H126" s="1">
        <f>UpLinks!G126</f>
        <v>42</v>
      </c>
      <c r="I126" s="1">
        <f>UpLinks!H126</f>
        <v>43</v>
      </c>
      <c r="J126" s="1">
        <f>UpLinks!I126</f>
        <v>3500</v>
      </c>
      <c r="K126" s="6">
        <f>UpLinks!J126</f>
        <v>1.0909090909090908</v>
      </c>
      <c r="L126" s="7">
        <f>UpLinks!K126</f>
        <v>8024.8975325209658</v>
      </c>
      <c r="M126" s="6">
        <f>UpLinks!L126</f>
        <v>5.6132742384836645</v>
      </c>
      <c r="N126" s="6">
        <f t="shared" si="3"/>
        <v>2.2928278664345618</v>
      </c>
    </row>
    <row r="127" spans="6:14" x14ac:dyDescent="0.45">
      <c r="F127" s="1" t="str">
        <f t="shared" si="2"/>
        <v>Link 126</v>
      </c>
      <c r="G127" s="1">
        <f>UpLinks!F127</f>
        <v>126</v>
      </c>
      <c r="H127" s="1">
        <f>UpLinks!G127</f>
        <v>43</v>
      </c>
      <c r="I127" s="1">
        <f>UpLinks!H127</f>
        <v>36</v>
      </c>
      <c r="J127" s="1">
        <f>UpLinks!I127</f>
        <v>3500</v>
      </c>
      <c r="K127" s="6">
        <f>UpLinks!J127</f>
        <v>3.2727272727272725</v>
      </c>
      <c r="L127" s="7">
        <f>UpLinks!K127</f>
        <v>7425.4549081351779</v>
      </c>
      <c r="M127" s="6">
        <f>UpLinks!L127</f>
        <v>13.218102147499154</v>
      </c>
      <c r="N127" s="6">
        <f t="shared" si="3"/>
        <v>2.1215585451814793</v>
      </c>
    </row>
    <row r="128" spans="6:14" x14ac:dyDescent="0.45">
      <c r="F128" s="1" t="str">
        <f t="shared" si="2"/>
        <v>Link 127</v>
      </c>
      <c r="G128" s="1">
        <f>UpLinks!F128</f>
        <v>127</v>
      </c>
      <c r="H128" s="1">
        <f>UpLinks!G128</f>
        <v>43</v>
      </c>
      <c r="I128" s="1">
        <f>UpLinks!H128</f>
        <v>42</v>
      </c>
      <c r="J128" s="1">
        <f>UpLinks!I128</f>
        <v>3500</v>
      </c>
      <c r="K128" s="6">
        <f>UpLinks!J128</f>
        <v>1.0909090909090908</v>
      </c>
      <c r="L128" s="7">
        <f>UpLinks!K128</f>
        <v>8262.6462194486467</v>
      </c>
      <c r="M128" s="6">
        <f>UpLinks!L128</f>
        <v>6.1734896934511987</v>
      </c>
      <c r="N128" s="6">
        <f t="shared" si="3"/>
        <v>2.3607560626996134</v>
      </c>
    </row>
    <row r="129" spans="6:14" x14ac:dyDescent="0.45">
      <c r="F129" s="1" t="str">
        <f t="shared" si="2"/>
        <v>Link 128</v>
      </c>
      <c r="G129" s="1">
        <f>UpLinks!F129</f>
        <v>128</v>
      </c>
      <c r="H129" s="1">
        <f>UpLinks!G129</f>
        <v>43</v>
      </c>
      <c r="I129" s="1">
        <f>UpLinks!H129</f>
        <v>44</v>
      </c>
      <c r="J129" s="1">
        <f>UpLinks!I129</f>
        <v>3000</v>
      </c>
      <c r="K129" s="6">
        <f>UpLinks!J129</f>
        <v>0.66666666666666674</v>
      </c>
      <c r="L129" s="7">
        <f>UpLinks!K129</f>
        <v>9498.7699726253213</v>
      </c>
      <c r="M129" s="6">
        <f>UpLinks!L129</f>
        <v>10.717092518913136</v>
      </c>
      <c r="N129" s="6">
        <f t="shared" si="3"/>
        <v>3.1662566575417737</v>
      </c>
    </row>
    <row r="130" spans="6:14" x14ac:dyDescent="0.45">
      <c r="F130" s="1" t="str">
        <f t="shared" si="2"/>
        <v>Link 129</v>
      </c>
      <c r="G130" s="1">
        <f>UpLinks!F130</f>
        <v>129</v>
      </c>
      <c r="H130" s="1">
        <f>UpLinks!G130</f>
        <v>44</v>
      </c>
      <c r="I130" s="1">
        <f>UpLinks!H130</f>
        <v>37</v>
      </c>
      <c r="J130" s="1">
        <f>UpLinks!I130</f>
        <v>3000</v>
      </c>
      <c r="K130" s="6">
        <f>UpLinks!J130</f>
        <v>4</v>
      </c>
      <c r="L130" s="7">
        <f>UpLinks!K130</f>
        <v>2291.2092967039634</v>
      </c>
      <c r="M130" s="6">
        <f>UpLinks!L130</f>
        <v>4.2041386708388764</v>
      </c>
      <c r="N130" s="6">
        <f t="shared" si="3"/>
        <v>0.76373643223465448</v>
      </c>
    </row>
    <row r="131" spans="6:14" x14ac:dyDescent="0.45">
      <c r="F131" s="1" t="str">
        <f t="shared" ref="F131:F133" si="4">"Link" &amp; " " &amp; G131</f>
        <v>Link 130</v>
      </c>
      <c r="G131" s="1">
        <f>UpLinks!F131</f>
        <v>130</v>
      </c>
      <c r="H131" s="1">
        <f>UpLinks!G131</f>
        <v>44</v>
      </c>
      <c r="I131" s="1">
        <f>UpLinks!H131</f>
        <v>39</v>
      </c>
      <c r="J131" s="1">
        <f>UpLinks!I131</f>
        <v>3000</v>
      </c>
      <c r="K131" s="6">
        <f>UpLinks!J131</f>
        <v>1.3333333333333335</v>
      </c>
      <c r="L131" s="7">
        <f>UpLinks!K131</f>
        <v>6788.4143736079914</v>
      </c>
      <c r="M131" s="6">
        <f>UpLinks!L131</f>
        <v>6.5767981009257905</v>
      </c>
      <c r="N131" s="6">
        <f t="shared" ref="N131:N133" si="5">L131/J131</f>
        <v>2.2628047912026639</v>
      </c>
    </row>
    <row r="132" spans="6:14" x14ac:dyDescent="0.45">
      <c r="F132" s="1" t="str">
        <f t="shared" si="4"/>
        <v>Link 131</v>
      </c>
      <c r="G132" s="1">
        <f>UpLinks!F132</f>
        <v>131</v>
      </c>
      <c r="H132" s="1">
        <f>UpLinks!G132</f>
        <v>44</v>
      </c>
      <c r="I132" s="1">
        <f>UpLinks!H132</f>
        <v>41</v>
      </c>
      <c r="J132" s="1">
        <f>UpLinks!I132</f>
        <v>3000</v>
      </c>
      <c r="K132" s="6">
        <f>UpLinks!J132</f>
        <v>2.666666666666667</v>
      </c>
      <c r="L132" s="7">
        <f>UpLinks!K132</f>
        <v>1214.2081835106751</v>
      </c>
      <c r="M132" s="6">
        <f>UpLinks!L132</f>
        <v>2.6774003207454418</v>
      </c>
      <c r="N132" s="6">
        <f t="shared" si="5"/>
        <v>0.40473606117022504</v>
      </c>
    </row>
    <row r="133" spans="6:14" x14ac:dyDescent="0.45">
      <c r="F133" s="1" t="str">
        <f t="shared" si="4"/>
        <v>Link 132</v>
      </c>
      <c r="G133" s="1">
        <f>UpLinks!F133</f>
        <v>132</v>
      </c>
      <c r="H133" s="1">
        <f>UpLinks!G133</f>
        <v>44</v>
      </c>
      <c r="I133" s="1">
        <f>UpLinks!H133</f>
        <v>43</v>
      </c>
      <c r="J133" s="1">
        <f>UpLinks!I133</f>
        <v>3000</v>
      </c>
      <c r="K133" s="6">
        <f>UpLinks!J133</f>
        <v>0.66666666666666674</v>
      </c>
      <c r="L133" s="7">
        <f>UpLinks!K133</f>
        <v>9542.7083694561115</v>
      </c>
      <c r="M133" s="6">
        <f>UpLinks!L133</f>
        <v>10.904347549627106</v>
      </c>
      <c r="N133" s="6">
        <f t="shared" si="5"/>
        <v>3.1809027898187039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ClearNetGraph">
                <anchor moveWithCells="1" sizeWithCells="1">
                  <from>
                    <xdr:col>0</xdr:col>
                    <xdr:colOff>0</xdr:colOff>
                    <xdr:row>11</xdr:row>
                    <xdr:rowOff>14288</xdr:rowOff>
                  </from>
                  <to>
                    <xdr:col>3</xdr:col>
                    <xdr:colOff>381000</xdr:colOff>
                    <xdr:row>13</xdr:row>
                    <xdr:rowOff>157163</xdr:rowOff>
                  </to>
                </anchor>
              </controlPr>
            </control>
          </mc:Choice>
        </mc:AlternateContent>
        <mc:AlternateContent xmlns:mc="http://schemas.openxmlformats.org/markup-compatibility/2006">
          <mc:Choice Requires="x14">
            <control shapeId="12290" r:id="rId4" name="Button 2">
              <controlPr defaultSize="0" print="0" autoFill="0" autoPict="0" macro="[0]!SResizeVolume">
                <anchor moveWithCells="1" sizeWithCells="1">
                  <from>
                    <xdr:col>0</xdr:col>
                    <xdr:colOff>0</xdr:colOff>
                    <xdr:row>19</xdr:row>
                    <xdr:rowOff>14288</xdr:rowOff>
                  </from>
                  <to>
                    <xdr:col>3</xdr:col>
                    <xdr:colOff>381000</xdr:colOff>
                    <xdr:row>21</xdr:row>
                    <xdr:rowOff>157163</xdr:rowOff>
                  </to>
                </anchor>
              </controlPr>
            </control>
          </mc:Choice>
        </mc:AlternateContent>
        <mc:AlternateContent xmlns:mc="http://schemas.openxmlformats.org/markup-compatibility/2006">
          <mc:Choice Requires="x14">
            <control shapeId="12291" r:id="rId5" name="Button 3">
              <controlPr defaultSize="0" print="0" autoFill="0" autoPict="0" macro="[0]!SResizeCapacity">
                <anchor moveWithCells="1" sizeWithCells="1">
                  <from>
                    <xdr:col>0</xdr:col>
                    <xdr:colOff>0</xdr:colOff>
                    <xdr:row>15</xdr:row>
                    <xdr:rowOff>9525</xdr:rowOff>
                  </from>
                  <to>
                    <xdr:col>3</xdr:col>
                    <xdr:colOff>381000</xdr:colOff>
                    <xdr:row>17</xdr:row>
                    <xdr:rowOff>157163</xdr:rowOff>
                  </to>
                </anchor>
              </controlPr>
            </control>
          </mc:Choice>
        </mc:AlternateContent>
        <mc:AlternateContent xmlns:mc="http://schemas.openxmlformats.org/markup-compatibility/2006">
          <mc:Choice Requires="x14">
            <control shapeId="12292" r:id="rId6" name="Button 4">
              <controlPr defaultSize="0" print="0" autoFill="0" autoPict="0" macro="[0]!SResizeUsage">
                <anchor moveWithCells="1" sizeWithCells="1">
                  <from>
                    <xdr:col>0</xdr:col>
                    <xdr:colOff>0</xdr:colOff>
                    <xdr:row>23</xdr:row>
                    <xdr:rowOff>19050</xdr:rowOff>
                  </from>
                  <to>
                    <xdr:col>3</xdr:col>
                    <xdr:colOff>390525</xdr:colOff>
                    <xdr:row>25</xdr:row>
                    <xdr:rowOff>157163</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Çalışma Sayfaları</vt:lpstr>
      </vt:variant>
      <vt:variant>
        <vt:i4>12</vt:i4>
      </vt:variant>
    </vt:vector>
  </HeadingPairs>
  <TitlesOfParts>
    <vt:vector size="12" baseType="lpstr">
      <vt:lpstr>Info</vt:lpstr>
      <vt:lpstr>NetNum</vt:lpstr>
      <vt:lpstr>Pro</vt:lpstr>
      <vt:lpstr>Dist</vt:lpstr>
      <vt:lpstr>Mods</vt:lpstr>
      <vt:lpstr>Factors</vt:lpstr>
      <vt:lpstr>UpMatrices</vt:lpstr>
      <vt:lpstr>UpLinks</vt:lpstr>
      <vt:lpstr>SPth</vt:lpstr>
      <vt:lpstr>AsgAON</vt:lpstr>
      <vt:lpstr>AsgInc</vt:lpstr>
      <vt:lpstr>NetGraph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2025-06-03T07:25:27Z</dcterms:created>
  <dcterms:modified xsi:type="dcterms:W3CDTF">2025-06-26T13:09:37Z</dcterms:modified>
</cp:coreProperties>
</file>